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Tiempos por sensor" sheetId="2" state="visible" r:id="rId2"/>
    <sheet name="Periodos y mediciones" sheetId="3" state="visible" r:id="rId3"/>
    <sheet name="Metod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0.0x"/>
    <numFmt numFmtId="165" formatCode="0.00x"/>
    <numFmt numFmtId="166" formatCode="0.000"/>
    <numFmt numFmtId="167" formatCode="0.0"/>
  </numFmts>
  <fonts count="8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555555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color rgb="00C00000"/>
      <sz val="10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E4"/>
      </patternFill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9" fontId="6" fillId="0" borderId="1" applyAlignment="1" pivotButton="0" quotePrefix="0" xfId="0">
      <alignment vertical="top" wrapText="1"/>
    </xf>
    <xf numFmtId="164" fontId="5" fillId="3" borderId="1" applyAlignment="1" pivotButton="0" quotePrefix="0" xfId="0">
      <alignment vertical="top" wrapText="1"/>
    </xf>
    <xf numFmtId="0" fontId="7" fillId="0" borderId="0" pivotButton="0" quotePrefix="0" xfId="0"/>
    <xf numFmtId="166" fontId="5" fillId="0" borderId="1" applyAlignment="1" pivotButton="0" quotePrefix="0" xfId="0">
      <alignment vertical="top" wrapText="1"/>
    </xf>
    <xf numFmtId="166" fontId="6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9" fontId="5" fillId="0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9" fontId="5" fillId="4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6" fillId="5" borderId="0" pivotButton="0" quotePrefix="0" xfId="0"/>
    <xf numFmtId="167" fontId="5" fillId="0" borderId="1" applyAlignment="1" pivotButton="0" quotePrefix="0" xfId="0">
      <alignment vertical="top" wrapText="1"/>
    </xf>
    <xf numFmtId="2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2" fontId="6" fillId="3" borderId="1" applyAlignment="1" pivotButton="0" quotePrefix="0" xfId="0">
      <alignment vertical="top" wrapText="1"/>
    </xf>
    <xf numFmtId="167" fontId="5" fillId="4" borderId="1" applyAlignment="1" pivotButton="0" quotePrefix="0" xfId="0">
      <alignment vertical="top" wrapText="1"/>
    </xf>
    <xf numFmtId="2" fontId="5" fillId="4" borderId="1" applyAlignment="1" pivotButton="0" quotePrefix="0" xfId="0">
      <alignment vertical="top" wrapText="1"/>
    </xf>
    <xf numFmtId="167" fontId="6" fillId="4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38" customWidth="1" min="1" max="1"/>
    <col width="14" customWidth="1" min="2" max="2"/>
    <col width="14" customWidth="1" min="3" max="3"/>
    <col width="10" customWidth="1" min="4" max="4"/>
    <col width="12" customWidth="1" min="5" max="5"/>
    <col width="58" customWidth="1" min="6" max="6"/>
  </cols>
  <sheetData>
    <row r="1">
      <c r="A1" s="1" t="inlineStr">
        <is>
          <t>Modulo C - tiempos reales medidos sobre el nodo C3</t>
        </is>
      </c>
    </row>
    <row r="2">
      <c r="A2" s="2" t="inlineStr">
        <is>
          <t>Medido el 2026-10-06 sobre la placa C3 (MAC 28:84:85:6F:82:88). Azul = valor medido. Negro = calculado por formula.</t>
        </is>
      </c>
    </row>
    <row r="3">
      <c r="A3" s="3" t="inlineStr">
        <is>
          <t>El dato que mas cambia el modelo: el tick real son 17.8 s, no los 10 s nominales.</t>
        </is>
      </c>
    </row>
    <row r="5" ht="30" customHeight="1">
      <c r="A5" s="4" t="inlineStr">
        <is>
          <t>Magnitud</t>
        </is>
      </c>
      <c r="B5" s="4" t="inlineStr">
        <is>
          <t>Hoja original</t>
        </is>
      </c>
      <c r="C5" s="4" t="inlineStr">
        <is>
          <t>MEDIDO</t>
        </is>
      </c>
      <c r="D5" s="4" t="inlineStr">
        <is>
          <t>Unidad</t>
        </is>
      </c>
      <c r="E5" s="4" t="inlineStr">
        <is>
          <t>Medido / Hoja</t>
        </is>
      </c>
      <c r="F5" s="4" t="inlineStr">
        <is>
          <t>Como se midio</t>
        </is>
      </c>
    </row>
    <row r="6">
      <c r="A6" s="5" t="inlineStr">
        <is>
          <t>Tick del planificador</t>
        </is>
      </c>
      <c r="B6" s="5" t="n">
        <v>10</v>
      </c>
      <c r="C6" s="6" t="n">
        <v>17.8</v>
      </c>
      <c r="D6" s="5" t="inlineStr">
        <is>
          <t>s</t>
        </is>
      </c>
      <c r="E6" s="7">
        <f>C6/B6</f>
        <v/>
      </c>
      <c r="F6" s="8" t="inlineStr">
        <is>
          <t>37 intervalos STAT-a-STAT en dos capturas independientes de Modulo B</t>
        </is>
      </c>
    </row>
    <row r="7">
      <c r="A7" s="5" t="inlineStr">
        <is>
          <t>Duty despierto del nodo (normal)</t>
        </is>
      </c>
      <c r="B7" s="9" t="n"/>
      <c r="C7" s="10" t="n">
        <v>0.45</v>
      </c>
      <c r="D7" s="5" t="inlineStr">
        <is>
          <t>%</t>
        </is>
      </c>
      <c r="E7" s="9" t="n"/>
      <c r="F7" s="8" t="inlineStr">
        <is>
          <t>17.8 s de tick menos 10 s de deep sleep = 7.8-8.1 s despierto</t>
        </is>
      </c>
    </row>
    <row r="8">
      <c r="A8" s="5" t="inlineStr">
        <is>
          <t>Burst completo (5 sensores)</t>
        </is>
      </c>
      <c r="B8" s="9" t="n"/>
      <c r="C8" s="6" t="n">
        <v>19.3</v>
      </c>
      <c r="D8" s="5" t="inlineStr">
        <is>
          <t>s</t>
        </is>
      </c>
      <c r="E8" s="9" t="n"/>
      <c r="F8" s="8" t="inlineStr">
        <is>
          <t>9 bursts, mediana; min 19.3 max 19.4 - muy estable</t>
        </is>
      </c>
    </row>
    <row r="9">
      <c r="A9" s="5" t="inlineStr">
        <is>
          <t>Envio B -&gt; Modulo A</t>
        </is>
      </c>
      <c r="B9" s="5" t="n">
        <v>1800</v>
      </c>
      <c r="C9" s="6" t="n">
        <v>65.40000000000001</v>
      </c>
      <c r="D9" s="5" t="inlineStr">
        <is>
          <t>s</t>
        </is>
      </c>
      <c r="E9" s="11">
        <f>C9/B9</f>
        <v/>
      </c>
      <c r="F9" s="8" t="inlineStr">
        <is>
          <t>138 intervalos reales de publicacion a ThingsBoard, mediana</t>
        </is>
      </c>
    </row>
    <row r="11">
      <c r="A11" s="12" t="inlineStr">
        <is>
          <t>El envio a Modulo A es el error mas grave de la hoja: asume 30 min y son ~65 s. Como la radio es la carga mayor, invalida los totales por hora.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6" customWidth="1" min="3" max="3"/>
    <col width="10" customWidth="1" min="4" max="4"/>
    <col width="16" customWidth="1" min="5" max="5"/>
    <col width="13" customWidth="1" min="6" max="6"/>
    <col width="11" customWidth="1" min="7" max="7"/>
    <col width="62" customWidth="1" min="8" max="8"/>
  </cols>
  <sheetData>
    <row r="1">
      <c r="A1" s="1" t="inlineStr">
        <is>
          <t>t activo por ciclo - tiempo que cada sensor ocupa en cada despertar</t>
        </is>
      </c>
    </row>
    <row r="2">
      <c r="A2" s="2" t="inlineStr">
        <is>
          <t>Medido con instrumentacion por slot anadida al firmware (entorno medir-tiempos). Medianas de 9 bursts. Identicos en modo normal y en alarma: el slot es el mismo.</t>
        </is>
      </c>
    </row>
    <row r="4" ht="30" customHeight="1">
      <c r="A4" s="4" t="inlineStr">
        <is>
          <t>Sensor</t>
        </is>
      </c>
      <c r="B4" s="4" t="inlineStr">
        <is>
          <t>t activo HOJA (s)</t>
        </is>
      </c>
      <c r="C4" s="4" t="inlineStr">
        <is>
          <t>t activo MEDIDO (s)</t>
        </is>
      </c>
      <c r="D4" s="4" t="inlineStr">
        <is>
          <t>Factor</t>
        </is>
      </c>
      <c r="E4" s="4" t="inlineStr">
        <is>
          <t>Recuperacion / hueco (s)</t>
        </is>
      </c>
      <c r="F4" s="4" t="inlineStr">
        <is>
          <t>Slot total (s)</t>
        </is>
      </c>
      <c r="G4" s="4" t="inlineStr">
        <is>
          <t>% del burst</t>
        </is>
      </c>
      <c r="H4" s="4" t="inlineStr">
        <is>
          <t>Nota</t>
        </is>
      </c>
    </row>
    <row r="5">
      <c r="A5" s="5" t="inlineStr">
        <is>
          <t>BME690 (T/H/P + gas)</t>
        </is>
      </c>
      <c r="B5" s="13" t="n">
        <v>10.8</v>
      </c>
      <c r="C5" s="14" t="n">
        <v>0.037</v>
      </c>
      <c r="D5" s="15">
        <f>IF(C5=0,0,C5/B5)</f>
        <v/>
      </c>
      <c r="E5" s="14" t="n">
        <v>6.101</v>
      </c>
      <c r="F5" s="13">
        <f>C5+E5</f>
        <v/>
      </c>
      <c r="G5" s="16">
        <f>F5/$F$10</f>
        <v/>
      </c>
      <c r="H5" s="8" t="inlineStr">
        <is>
          <t>Una sola llamada read() devuelve T/H/P Y gas en 37 ms. NO hay coste de 10.8 s: el calentador corre dentro del sensor y no bloquea el micro. La recuperacion de 6.1 s es un ciclo de rail para que el BMV080 pueda arrancar despues - no mide nada.</t>
        </is>
      </c>
    </row>
    <row r="6">
      <c r="A6" s="5" t="inlineStr">
        <is>
          <t>CM1106 (CO2)</t>
        </is>
      </c>
      <c r="B6" s="13" t="n">
        <v>0.7</v>
      </c>
      <c r="C6" s="14" t="n">
        <v>3.513</v>
      </c>
      <c r="D6" s="15">
        <f>IF(C6=0,0,C6/B6)</f>
        <v/>
      </c>
      <c r="E6" s="14" t="n">
        <v>1.5</v>
      </c>
      <c r="F6" s="13">
        <f>C6+E6</f>
        <v/>
      </c>
      <c r="G6" s="16">
        <f>F6/$F$10</f>
        <v/>
      </c>
      <c r="H6" s="8" t="inlineStr">
        <is>
          <t>5x lo que dice la hoja. Incluye power-cycle y calentamiento: es un sensor de disparo unico, mide al alimentarse.</t>
        </is>
      </c>
    </row>
    <row r="7">
      <c r="A7" s="5" t="inlineStr">
        <is>
          <t>BMV080 (particulas)</t>
        </is>
      </c>
      <c r="B7" s="13" t="n">
        <v>20</v>
      </c>
      <c r="C7" s="14" t="n">
        <v>2.114</v>
      </c>
      <c r="D7" s="15">
        <f>IF(C7=0,0,C7/B7)</f>
        <v/>
      </c>
      <c r="E7" s="14" t="n">
        <v>1.5</v>
      </c>
      <c r="F7" s="13">
        <f>C7+E7</f>
        <v/>
      </c>
      <c r="G7" s="16">
        <f>F7/$F$10</f>
        <v/>
      </c>
      <c r="H7" s="8" t="inlineStr">
        <is>
          <t>Su arranque de 5 s se cobra dentro de la recuperacion del BME690, no en su propio slot. Coste real ~7 s repartido.</t>
        </is>
      </c>
    </row>
    <row r="8">
      <c r="A8" s="5" t="inlineStr">
        <is>
          <t>Calypso (viento)</t>
        </is>
      </c>
      <c r="B8" s="13" t="n">
        <v>1</v>
      </c>
      <c r="C8" s="14" t="n">
        <v>1.5</v>
      </c>
      <c r="D8" s="15">
        <f>IF(C8=0,0,C8/B8)</f>
        <v/>
      </c>
      <c r="E8" s="14" t="n">
        <v>1.5</v>
      </c>
      <c r="F8" s="13">
        <f>C8+E8</f>
        <v/>
      </c>
      <c r="G8" s="16">
        <f>F8/$F$10</f>
        <v/>
      </c>
      <c r="H8" s="8" t="inlineStr">
        <is>
          <t>Agota siempre la ventana completa de 1.5 s (CALYPSO_READ_WINDOW_MS).</t>
        </is>
      </c>
    </row>
    <row r="9">
      <c r="A9" s="5" t="inlineStr">
        <is>
          <t>SEN0466 (CO)</t>
        </is>
      </c>
      <c r="B9" s="13" t="n">
        <v>210</v>
      </c>
      <c r="C9" s="14" t="n">
        <v>0</v>
      </c>
      <c r="D9" s="15">
        <f>IF(C9=0,0,C9/B9)</f>
        <v/>
      </c>
      <c r="E9" s="14" t="n">
        <v>1.5</v>
      </c>
      <c r="F9" s="13">
        <f>C9+E9</f>
        <v/>
      </c>
      <c r="G9" s="16">
        <f>F9/$F$10</f>
        <v/>
      </c>
      <c r="H9" s="8" t="inlineStr">
        <is>
          <t>NO SE LEE NUNCA. SLEEP_SKIP_SEN0466 lo excluye del ciclo, tambien en alarma. Los 210 s son estabilizacion en frio, no lectura: con el rail siempre alimentado lee en 24 ms.</t>
        </is>
      </c>
    </row>
    <row r="10">
      <c r="A10" s="17" t="inlineStr">
        <is>
          <t>TOTAL burst</t>
        </is>
      </c>
      <c r="B10" s="18" t="n"/>
      <c r="C10" s="19">
        <f>SUM(C5:C9)</f>
        <v/>
      </c>
      <c r="D10" s="18" t="n"/>
      <c r="E10" s="19">
        <f>SUM(E5:E9)</f>
        <v/>
      </c>
      <c r="F10" s="19">
        <f>SUM(F5:F9)</f>
        <v/>
      </c>
      <c r="G10" s="20">
        <f>F10/$F$10</f>
        <v/>
      </c>
      <c r="H10" s="21" t="inlineStr">
        <is>
          <t>Medido directamente: mediana 19.3 s (min 19.3, max 19.4, n=9). La suma de los slots lo reproduce.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9" customWidth="1" min="4" max="4"/>
    <col width="14" customWidth="1" min="5" max="5"/>
    <col width="15" customWidth="1" min="6" max="6"/>
    <col width="14" customWidth="1" min="7" max="7"/>
    <col width="15" customWidth="1" min="8" max="8"/>
    <col width="13" customWidth="1" min="9" max="9"/>
    <col width="62" customWidth="1" min="10" max="10"/>
    <col width="20" customWidth="1" min="12" max="12"/>
  </cols>
  <sheetData>
    <row r="1">
      <c r="A1" s="1" t="inlineStr">
        <is>
          <t>Periodo base y mediciones por hora - NORMAL vs ALARMA</t>
        </is>
      </c>
      <c r="L1" s="3" t="inlineStr">
        <is>
          <t>Constantes medidas</t>
        </is>
      </c>
    </row>
    <row r="2">
      <c r="A2" s="2" t="inlineStr">
        <is>
          <t>Periodo NORMAL = n ticks x 17.8 s (tick real medido). Periodo ALARMA = 25.5 s medidos entre bursts consecutivos; el nodo no duerme.</t>
        </is>
      </c>
      <c r="L2" s="22" t="inlineStr">
        <is>
          <t>Tick real (s)</t>
        </is>
      </c>
      <c r="M2" s="23" t="n">
        <v>17.8</v>
      </c>
    </row>
    <row r="3">
      <c r="L3" s="22" t="inlineStr">
        <is>
          <t>Ciclo alarma (s)</t>
        </is>
      </c>
      <c r="M3" s="23" t="n">
        <v>25.5</v>
      </c>
    </row>
    <row r="4" ht="30" customHeight="1">
      <c r="A4" s="4" t="inlineStr">
        <is>
          <t>Sensor / enlace</t>
        </is>
      </c>
      <c r="B4" s="4" t="inlineStr">
        <is>
          <t>Periodo HOJA (min)</t>
        </is>
      </c>
      <c r="C4" s="4" t="inlineStr">
        <is>
          <t>Mediciones/h HOJA</t>
        </is>
      </c>
      <c r="D4" s="4" t="inlineStr">
        <is>
          <t>Ticks</t>
        </is>
      </c>
      <c r="E4" s="4" t="inlineStr">
        <is>
          <t>Periodo NORMAL (s)</t>
        </is>
      </c>
      <c r="F4" s="4" t="inlineStr">
        <is>
          <t>Mediciones/h NORMAL</t>
        </is>
      </c>
      <c r="G4" s="4" t="inlineStr">
        <is>
          <t>Periodo ALARMA (s)</t>
        </is>
      </c>
      <c r="H4" s="4" t="inlineStr">
        <is>
          <t>Mediciones/h ALARMA</t>
        </is>
      </c>
      <c r="I4" s="4" t="inlineStr">
        <is>
          <t>Factor alarma/normal</t>
        </is>
      </c>
      <c r="J4" s="4" t="inlineStr">
        <is>
          <t>Nota</t>
        </is>
      </c>
    </row>
    <row r="5">
      <c r="A5" s="5" t="inlineStr">
        <is>
          <t>BME690 T/H/P (centinela)</t>
        </is>
      </c>
      <c r="B5" s="24" t="n">
        <v>5</v>
      </c>
      <c r="C5" s="25" t="n">
        <v>12</v>
      </c>
      <c r="D5" s="6" t="n">
        <v>3</v>
      </c>
      <c r="E5" s="24">
        <f>D5*$M$2</f>
        <v/>
      </c>
      <c r="F5" s="25">
        <f>3600/E5</f>
        <v/>
      </c>
      <c r="G5" s="24">
        <f>$M$3</f>
        <v/>
      </c>
      <c r="H5" s="25">
        <f>3600/G5</f>
        <v/>
      </c>
      <c r="I5" s="7">
        <f>IF(F5=0,0,H5/F5)</f>
        <v/>
      </c>
      <c r="J5" s="8" t="inlineStr">
        <is>
          <t>SENSOR_READ=3</t>
        </is>
      </c>
    </row>
    <row r="6">
      <c r="A6" s="5" t="inlineStr">
        <is>
          <t>BME690 VOC / gas</t>
        </is>
      </c>
      <c r="B6" s="24" t="n">
        <v>20</v>
      </c>
      <c r="C6" s="25" t="n">
        <v>3</v>
      </c>
      <c r="D6" s="6" t="n">
        <v>90</v>
      </c>
      <c r="E6" s="24">
        <f>D6*$M$2</f>
        <v/>
      </c>
      <c r="F6" s="25">
        <f>3600/E6</f>
        <v/>
      </c>
      <c r="G6" s="24">
        <f>$M$3</f>
        <v/>
      </c>
      <c r="H6" s="25">
        <f>3600/G6</f>
        <v/>
      </c>
      <c r="I6" s="7">
        <f>IF(F6=0,0,H6/F6)</f>
        <v/>
      </c>
      <c r="J6" s="8" t="inlineStr">
        <is>
          <t>BURST=90</t>
        </is>
      </c>
    </row>
    <row r="7">
      <c r="A7" s="5" t="inlineStr">
        <is>
          <t>CM1106 CO2</t>
        </is>
      </c>
      <c r="B7" s="24" t="n">
        <v>30</v>
      </c>
      <c r="C7" s="25" t="n">
        <v>2</v>
      </c>
      <c r="D7" s="6" t="n">
        <v>90</v>
      </c>
      <c r="E7" s="24">
        <f>D7*$M$2</f>
        <v/>
      </c>
      <c r="F7" s="25">
        <f>3600/E7</f>
        <v/>
      </c>
      <c r="G7" s="24">
        <f>$M$3</f>
        <v/>
      </c>
      <c r="H7" s="25">
        <f>3600/G7</f>
        <v/>
      </c>
      <c r="I7" s="7">
        <f>IF(F7=0,0,H7/F7)</f>
        <v/>
      </c>
      <c r="J7" s="8" t="inlineStr">
        <is>
          <t>BURST=90</t>
        </is>
      </c>
    </row>
    <row r="8">
      <c r="A8" s="5" t="inlineStr">
        <is>
          <t>BMV080 particulas</t>
        </is>
      </c>
      <c r="B8" s="24" t="n">
        <v>30</v>
      </c>
      <c r="C8" s="25" t="n">
        <v>2</v>
      </c>
      <c r="D8" s="6" t="n">
        <v>90</v>
      </c>
      <c r="E8" s="24">
        <f>D8*$M$2</f>
        <v/>
      </c>
      <c r="F8" s="25">
        <f>3600/E8</f>
        <v/>
      </c>
      <c r="G8" s="24">
        <f>$M$3</f>
        <v/>
      </c>
      <c r="H8" s="25">
        <f>3600/G8</f>
        <v/>
      </c>
      <c r="I8" s="7">
        <f>IF(F8=0,0,H8/F8)</f>
        <v/>
      </c>
      <c r="J8" s="8" t="inlineStr">
        <is>
          <t>BURST=90</t>
        </is>
      </c>
    </row>
    <row r="9">
      <c r="A9" s="5" t="inlineStr">
        <is>
          <t>Calypso viento</t>
        </is>
      </c>
      <c r="B9" s="24" t="n">
        <v>5</v>
      </c>
      <c r="C9" s="9" t="n"/>
      <c r="D9" s="6" t="n">
        <v>90</v>
      </c>
      <c r="E9" s="24">
        <f>D9*$M$2</f>
        <v/>
      </c>
      <c r="F9" s="25">
        <f>3600/E9</f>
        <v/>
      </c>
      <c r="G9" s="24">
        <f>$M$3</f>
        <v/>
      </c>
      <c r="H9" s="25">
        <f>3600/G9</f>
        <v/>
      </c>
      <c r="I9" s="7">
        <f>IF(F9=0,0,H9/F9)</f>
        <v/>
      </c>
      <c r="J9" s="8" t="inlineStr">
        <is>
          <t>BURST=90</t>
        </is>
      </c>
    </row>
    <row r="10">
      <c r="A10" s="5" t="inlineStr">
        <is>
          <t>SEN0466 CO</t>
        </is>
      </c>
      <c r="B10" s="24" t="n">
        <v>30</v>
      </c>
      <c r="C10" s="25" t="n">
        <v>2</v>
      </c>
      <c r="D10" s="26" t="inlineStr">
        <is>
          <t>excluido</t>
        </is>
      </c>
      <c r="E10" s="26" t="inlineStr">
        <is>
          <t>nunca</t>
        </is>
      </c>
      <c r="F10" s="27" t="n">
        <v>0</v>
      </c>
      <c r="G10" s="26" t="inlineStr">
        <is>
          <t>nunca</t>
        </is>
      </c>
      <c r="H10" s="27" t="n">
        <v>0</v>
      </c>
      <c r="I10" s="11" t="n">
        <v>0</v>
      </c>
      <c r="J10" s="8" t="inlineStr">
        <is>
          <t>EXCLUIDO del ciclo - no se lee en ningun estado</t>
        </is>
      </c>
    </row>
    <row r="11">
      <c r="A11" s="5" t="inlineStr">
        <is>
          <t>TX LoRa  C -&gt; B</t>
        </is>
      </c>
      <c r="B11" s="9" t="n"/>
      <c r="C11" s="9" t="n"/>
      <c r="D11" s="6" t="n">
        <v>4</v>
      </c>
      <c r="E11" s="24">
        <f>D11*$M$2</f>
        <v/>
      </c>
      <c r="F11" s="25">
        <f>3600/E11</f>
        <v/>
      </c>
      <c r="G11" s="24">
        <f>$M$3</f>
        <v/>
      </c>
      <c r="H11" s="25">
        <f>3600/G11</f>
        <v/>
      </c>
      <c r="I11" s="7">
        <f>IF(F11=0,0,H11/F11)</f>
        <v/>
      </c>
      <c r="J11" s="8" t="inlineStr">
        <is>
          <t>LORA_TRANS=4</t>
        </is>
      </c>
    </row>
    <row r="13">
      <c r="A13" s="17" t="inlineStr">
        <is>
          <t>Envio B -&gt; Modulo A</t>
        </is>
      </c>
      <c r="B13" s="28" t="n">
        <v>30</v>
      </c>
      <c r="C13" s="29" t="n">
        <v>2</v>
      </c>
      <c r="D13" s="18" t="n"/>
      <c r="E13" s="30" t="n">
        <v>65.40000000000001</v>
      </c>
      <c r="F13" s="29">
        <f>3600/E13</f>
        <v/>
      </c>
      <c r="G13" s="18" t="n"/>
      <c r="H13" s="18" t="n"/>
      <c r="I13" s="18" t="n"/>
      <c r="J13" s="21" t="inlineStr">
        <is>
          <t>138 intervalos reales. mediana 65.4 s / media 61.7 / p25 41.6 / p75 71.6 / max 125. La hoja asume 30 min: 27x de error.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" t="inlineStr">
        <is>
          <t>Como se obtuvo cada numero</t>
        </is>
      </c>
    </row>
    <row r="3" ht="48" customHeight="1">
      <c r="A3" s="31" t="inlineStr">
        <is>
          <t>Placa</t>
        </is>
      </c>
      <c r="B3" s="32" t="inlineStr">
        <is>
          <t>Modulo C nodo 3 (C3), MAC 28:84:85:6F:82:88. Fecha 2026-10-06.</t>
        </is>
      </c>
    </row>
    <row r="4" ht="48" customHeight="1">
      <c r="A4" s="31" t="inlineStr">
        <is>
          <t>t activo por sensor</t>
        </is>
      </c>
      <c r="B4" s="32" t="inlineStr">
        <is>
          <t>Instrumentacion anadida al firmware: millis() alrededor de cada runSlot(), con una linea [t] por slot. Entorno medir-tiempos (SLEEP_ENABLED=0) para que cada pasada sea un burst completo y el puerto serie no desaparezca. 9 bursts; se toma la mediana.</t>
        </is>
      </c>
    </row>
    <row r="5" ht="48" customHeight="1">
      <c r="A5" s="31" t="inlineStr">
        <is>
          <t>Tick real</t>
        </is>
      </c>
      <c r="B5" s="32" t="inlineStr">
        <is>
          <t>Intervalos entre tramas STAT consecutivas de C3 en el log de Modulo B, divididos por el numero de despertares que declara el propio STAT. 37 intervalos en dos capturas independientes: 17.8 s y 18.1 s.</t>
        </is>
      </c>
    </row>
    <row r="6" ht="48" customHeight="1">
      <c r="A6" s="31" t="inlineStr">
        <is>
          <t>Periodos normales</t>
        </is>
      </c>
      <c r="B6" s="32" t="inlineStr">
        <is>
          <t>Numero de ticks de cada contador (SENSOR_READ=3, BURST=90, LORA_TRANS=4) multiplicado por el tick real. NO por los 10 s nominales.</t>
        </is>
      </c>
    </row>
    <row r="7" ht="48" customHeight="1">
      <c r="A7" s="31" t="inlineStr">
        <is>
          <t>Modo alarma</t>
        </is>
      </c>
      <c r="B7" s="32" t="inlineStr">
        <is>
          <t>Entorno medir-alarma (FORCE_ALARM_STATE=2). El nodo no duerme y repite el burst completo. Periodo medido entre bursts consecutivos: 25.5 s.</t>
        </is>
      </c>
    </row>
    <row r="8" ht="48" customHeight="1">
      <c r="A8" s="31" t="inlineStr">
        <is>
          <t>Envio B -&gt; Modulo A</t>
        </is>
      </c>
      <c r="B8" s="32" t="inlineStr">
        <is>
          <t>Intervalos entre publicaciones AT+QMTPUB a v1/gateway/telemetry en 9 capturas de Modulo B del 5 y 6 de octubre. Se descartan los huecos &lt;5 s (publicaciones consecutivas del mismo evento) y &gt;600 s (reconexiones). n=138.</t>
        </is>
      </c>
    </row>
    <row r="9" ht="48" customHeight="1">
      <c r="A9" s="31" t="inlineStr">
        <is>
          <t>Lo que NO se ha medido aqui</t>
        </is>
      </c>
      <c r="B9" s="32" t="inlineStr">
        <is>
          <t>Las corrientes. Requieren el PPK2 en el banco. Las medidas de corriente existentes estan en test_consumos/mediciones.csv, y dos contradicen la hoja: el SEN0466 consume 14.5 mA y no 5, y no tiene modo reposo (~15 mA siempre que este alimentado, no 0 uA).</t>
        </is>
      </c>
    </row>
    <row r="10" ht="48" customHeight="1">
      <c r="A10" s="31" t="inlineStr">
        <is>
          <t>Avisos</t>
        </is>
      </c>
      <c r="B10" s="32" t="inlineStr">
        <is>
          <t>La hoja no incluye el ESP32-S3 (35 mA despierto, 0.026 mA dormido) ni la radio RYLR998 (50 mA en RX, 151 mA de pico en TX). A 45% de duty solo el ESP son ~15 mA de media, frente a ~1.4 mA de todos los sensores juntos.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2026-10-06T13:54:24Z</dcterms:created>
  <dcterms:modified xsi:type="dcterms:W3CDTF">2026-10-06T13:54:24Z</dcterms:modified>
</cp:coreProperties>
</file>