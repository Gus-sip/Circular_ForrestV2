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Glosario"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8">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color rgb="00C00000"/>
      <sz val="10"/>
    </font>
  </fonts>
  <fills count="6">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7"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2" borderId="1" pivotButton="0" quotePrefix="0" xfId="0"/>
    <xf numFmtId="0" fontId="0" fillId="2" borderId="1" pivotButton="0" quotePrefix="0" xfId="0"/>
    <xf numFmtId="0" fontId="3" fillId="0"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19.3</v>
      </c>
      <c r="D8" s="5" t="inlineStr">
        <is>
          <t>s</t>
        </is>
      </c>
      <c r="E8" s="9" t="n"/>
      <c r="F8" s="8" t="inlineStr">
        <is>
          <t>9 bursts, mediana; min 19.3 max 19.4 - muy estable</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envio a Modulo A es el error mas grave de la hoja: asume 30 min y son ~65 s. Como la radio es la carga mayor, invalida los totales por hora.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100" customWidth="1" min="2" max="2"/>
  </cols>
  <sheetData>
    <row r="1">
      <c r="A1" s="1" t="inlineStr">
        <is>
          <t>Que es un TICK, y por que casi todo son 90</t>
        </is>
      </c>
    </row>
    <row r="3">
      <c r="A3" s="33" t="inlineStr">
        <is>
          <t>EL TICK</t>
        </is>
      </c>
      <c r="B3" s="34" t="inlineStr"/>
    </row>
    <row r="4" ht="39" customHeight="1">
      <c r="A4" s="35" t="inlineStr">
        <is>
          <t>Que es</t>
        </is>
      </c>
      <c r="B4" s="5" t="inlineStr">
        <is>
          <t>La unidad del planificador del nodo. El Modulo C no corre en continuo: duerme en deep sleep, despierta, mira QUE toca hacer en ese despertar, lo hace, y vuelve a dormir. Cada despertar es UN TICK.</t>
        </is>
      </c>
    </row>
    <row r="5" ht="39" customHeight="1">
      <c r="A5" s="35" t="inlineStr">
        <is>
          <t>Por que en ticks y no en minutos</t>
        </is>
      </c>
      <c r="B5" s="5" t="inlineStr">
        <is>
          <t>Porque el nodo no tiene reloj fiable al otro lado del sueno. Lo unico que sobrevive al deep sleep son unos contadores en memoria RTC. Asi que el firmware no dice 'lee cada 15 minutos', dice 'lee cada 90 despertares'. Los contadores SON el reloj.</t>
        </is>
      </c>
    </row>
    <row r="6" ht="30" customHeight="1">
      <c r="A6" s="35" t="inlineStr">
        <is>
          <t>Tick nominal</t>
        </is>
      </c>
      <c r="B6" s="5" t="inlineStr">
        <is>
          <t>10 s. Es SLEEP_CYCLE_SECONDS: lo que el nodo programa dormir.</t>
        </is>
      </c>
    </row>
    <row r="7" ht="39" customHeight="1">
      <c r="A7" s="35" t="inlineStr">
        <is>
          <t>Tick REAL (medido)</t>
        </is>
      </c>
      <c r="B7" s="5" t="inlineStr">
        <is>
          <t>17.8 s. El nodo duerme 10 s, pero ademas esta despierto ~8 s haciendo el trabajo del tick. 10 + 7.8 = 17.8 s de reloj de pared por tick. ESTE es el numero que hay que usar para pasar de ticks a minutos; usar 10 s subestima todos los periodos en un 78%.</t>
        </is>
      </c>
    </row>
    <row r="8" ht="30" customHeight="1">
      <c r="A8" s="35" t="inlineStr">
        <is>
          <t>Consecuencia</t>
        </is>
      </c>
      <c r="B8" s="5" t="inlineStr">
        <is>
          <t>El nodo esta despierto el ~45% del tiempo. El deep sleep aporta mucho menos de lo que parece, porque el trabajo de cada tick dura casi tanto como el sueno.</t>
        </is>
      </c>
    </row>
    <row r="10">
      <c r="A10" s="33" t="inlineStr">
        <is>
          <t>LOS TRES CONTADORES</t>
        </is>
      </c>
      <c r="B10" s="34" t="inlineStr"/>
    </row>
    <row r="11" ht="30" customHeight="1">
      <c r="A11" s="35" t="inlineStr">
        <is>
          <t>SENSOR_READ = 3</t>
        </is>
      </c>
      <c r="B11" s="5" t="inlineStr">
        <is>
          <t>Cada 3 ticks (53 s reales) se leen solo los sensores BARATOS: BME690 temperatura, humedad y presion. Son los 'centinelas': vigilan en continuo por si algo empieza.</t>
        </is>
      </c>
    </row>
    <row r="12" ht="30" customHeight="1">
      <c r="A12" s="35" t="inlineStr">
        <is>
          <t>BURST = 90</t>
        </is>
      </c>
      <c r="B12" s="5" t="inlineStr">
        <is>
          <t>Cada 90 ticks (26.7 min reales) se lee TODO, incluidos los caros. De ahi que casi toda la columna 'Ticks' ponga 90 - ver abajo el porque.</t>
        </is>
      </c>
    </row>
    <row r="13" ht="39" customHeight="1">
      <c r="A13" s="35" t="inlineStr">
        <is>
          <t>LORA_TRANS = 4</t>
        </is>
      </c>
      <c r="B13" s="5" t="inlineStr">
        <is>
          <t>Cada 4 ticks (71 s reales) el nodo transmite a Modulo B lo que tenga acumulado. No transmite cada lectura: agrupa. Con SENSOR_READ=3 y LORA_TRANS=4 salen 2 lecturas por paquete, que es lo que se ve en el log como 'batch of 2 readings'.</t>
        </is>
      </c>
    </row>
    <row r="14" ht="39" customHeight="1">
      <c r="A14" s="35" t="inlineStr">
        <is>
          <t>Se pueden cambiar en caliente</t>
        </is>
      </c>
      <c r="B14" s="5" t="inlineStr">
        <is>
          <t>Los tres viven en memoria RTC y Modulo A los puede cambiar por comando (CFG,SENSOR_READ / CFG,BURST / CFG,INTERVAL) sin reprogramar la placa. El equilibrio entre latencia de deteccion y bateria se ajusta en campo.</t>
        </is>
      </c>
    </row>
    <row r="16">
      <c r="A16" s="33" t="inlineStr">
        <is>
          <t>POR QUE 90 TICKS</t>
        </is>
      </c>
      <c r="B16" s="34" t="inlineStr"/>
    </row>
    <row r="17" ht="52" customHeight="1">
      <c r="A17" s="35" t="inlineStr">
        <is>
          <t>Razon 1 - energia</t>
        </is>
      </c>
      <c r="B17" s="5" t="inlineStr">
        <is>
          <t>Los sensores del burst son los caros: el BMV080 enciende un laser de 68 mA, el BME690 calienta a 320 C, el CM1106 hay que apagarlo y encenderlo entero para que mida. El burst completo tiene al nodo despierto 19.3 s. Hacerlo cada 3 ticks en vez de cada 90 multiplicaria por 30 ese gasto.</t>
        </is>
      </c>
    </row>
    <row r="18" ht="39" customHeight="1">
      <c r="A18" s="35" t="inlineStr">
        <is>
          <t>Razon 2 - fisica del fenomeno</t>
        </is>
      </c>
      <c r="B18" s="5" t="inlineStr">
        <is>
          <t>Las particulas y el CO2 cambian a la escala de un incendio que se propaga, no a la de segundos. Medirlos cada 30 s no detecta nada antes: solo gasta bateria. La temperatura y la humedad SI pueden cambiar rapido, y por eso esas van cada 3 ticks.</t>
        </is>
      </c>
    </row>
    <row r="19" ht="39" customHeight="1">
      <c r="A19" s="35" t="inlineStr">
        <is>
          <t>La idea de fondo</t>
        </is>
      </c>
      <c r="B19" s="5" t="inlineStr">
        <is>
          <t>Vigilancia barata en continuo (centinelas cada 53 s) + confirmacion cara de vez en cuando (burst cada 26.7 min). Y si los centinelas detectan algo, el nodo pasa a alarma y entonces hace el burst completo cada 25.5 s: 63 veces mas a menudo.</t>
        </is>
      </c>
    </row>
    <row r="21">
      <c r="A21" s="33" t="inlineStr">
        <is>
          <t>LAS COLUMNAS</t>
        </is>
      </c>
      <c r="B21" s="34" t="inlineStr"/>
    </row>
    <row r="22" ht="30" customHeight="1">
      <c r="A22" s="35" t="inlineStr">
        <is>
          <t>Ticks</t>
        </is>
      </c>
      <c r="B22" s="5" t="inlineStr">
        <is>
          <t>Cuantos despertares pasan entre una lectura de ese sensor y la siguiente. 3 = centinela, 90 = burst, 'excluido' = no se lee nunca.</t>
        </is>
      </c>
    </row>
    <row r="23" ht="30" customHeight="1">
      <c r="A23" s="35" t="inlineStr">
        <is>
          <t>Periodo NORMAL (s)</t>
        </is>
      </c>
      <c r="B23" s="5">
        <f> Ticks x 17.8 s. El tiempo real entre dos lecturas de ese sensor.</f>
        <v/>
      </c>
    </row>
    <row r="24" ht="30" customHeight="1">
      <c r="A24" s="35" t="inlineStr">
        <is>
          <t>Mediciones/h NORMAL</t>
        </is>
      </c>
      <c r="B24" s="5">
        <f> 3600 / Periodo. Cuantas veces por hora se mide esa magnitud.</f>
        <v/>
      </c>
    </row>
    <row r="25" ht="30" customHeight="1">
      <c r="A25" s="35" t="inlineStr">
        <is>
          <t>Periodo ALARMA (s)</t>
        </is>
      </c>
      <c r="B25" s="5" t="inlineStr">
        <is>
          <t>25.5 s para todos. En alarma el nodo NO duerme: repite el burst completo sin parar, asi que el periodo ya no depende de ticks sino de lo que tarda el propio burst.</t>
        </is>
      </c>
    </row>
    <row r="26" ht="30" customHeight="1">
      <c r="A26" s="35" t="inlineStr">
        <is>
          <t>t activo MEDIDO (s)</t>
        </is>
      </c>
      <c r="B26" s="5" t="inlineStr">
        <is>
          <t>Lo que ese sensor tiene ocupado al microcontrolador en cada lectura. Medido con millis() alrededor de su slot.</t>
        </is>
      </c>
    </row>
    <row r="27" ht="52" customHeight="1">
      <c r="A27" s="35" t="inlineStr">
        <is>
          <t>Recuperacion / hueco (s)</t>
        </is>
      </c>
      <c r="B27" s="5" t="inlineStr">
        <is>
          <t>Tiempo de espera OBLIGATORIO despues del sensor, antes de arrancar el siguiente. Normalmente 1.5 s para que una carga deje de consumir antes de que empiece la siguiente. Tras el BME690 son 6.1 s porque hace falta un ciclo completo de alimentacion para que el BMV080 pueda arrancar despues del calentador.</t>
        </is>
      </c>
    </row>
    <row r="28" ht="30" customHeight="1">
      <c r="A28" s="35" t="inlineStr">
        <is>
          <t>Slot total (s)</t>
        </is>
      </c>
      <c r="B28" s="5" t="inlineStr">
        <is>
          <t>activo + recuperacion. Es el coste REAL en tiempo despierto, que es lo que consume bateria: el ESP32 esta tirando sus ~35 mA durante todo el slot, mida o espere.</t>
        </is>
      </c>
    </row>
    <row r="30">
      <c r="A30" s="1" t="inlineStr">
        <is>
          <t>En una linea</t>
        </is>
      </c>
    </row>
    <row r="31" ht="46" customHeight="1">
      <c r="B31" s="36" t="inlineStr">
        <is>
          <t>Un tick son 17.8 s reales. Los sensores caros van cada 90 ticks (26.7 min) porque gastan mucho y porque el humo y el CO2 no cambian en segundos. Los baratos van cada 3 ticks (53 s) para vigilar en continuo. Si saltan, el nodo deja de dormir y lo mide todo cada 25.5 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Medido con instrumentacion por slot anadida al firmware (entorno medir-tiempos). Medianas de 9 bursts. Identicos en modo normal y en alarma: el slot es el mismo.</t>
        </is>
      </c>
    </row>
    <row r="4" ht="30" customHeight="1">
      <c r="A4" s="4" t="inlineStr">
        <is>
          <t>Sensor</t>
        </is>
      </c>
      <c r="B4" s="4" t="inlineStr">
        <is>
          <t>t activo HOJA (s)</t>
        </is>
      </c>
      <c r="C4" s="4" t="inlineStr">
        <is>
          <t>t activo MEDIDO (s)</t>
        </is>
      </c>
      <c r="D4" s="4" t="inlineStr">
        <is>
          <t>Factor</t>
        </is>
      </c>
      <c r="E4" s="4" t="inlineStr">
        <is>
          <t>Recuperacion / hueco (s)</t>
        </is>
      </c>
      <c r="F4" s="4" t="inlineStr">
        <is>
          <t>Slot total (s)</t>
        </is>
      </c>
      <c r="G4" s="4" t="inlineStr">
        <is>
          <t>% del burst</t>
        </is>
      </c>
      <c r="H4" s="4" t="inlineStr">
        <is>
          <t>Nota</t>
        </is>
      </c>
    </row>
    <row r="5">
      <c r="A5" s="5" t="inlineStr">
        <is>
          <t>BME690 (T/H/P + gas)</t>
        </is>
      </c>
      <c r="B5" s="37" t="n">
        <v>10.8</v>
      </c>
      <c r="C5" s="38" t="n">
        <v>0.037</v>
      </c>
      <c r="D5" s="39">
        <f>IF(C5=0,0,C5/B5)</f>
        <v/>
      </c>
      <c r="E5" s="38" t="n">
        <v>6.101</v>
      </c>
      <c r="F5" s="37">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7" t="n">
        <v>0.7</v>
      </c>
      <c r="C6" s="38" t="n">
        <v>3.513</v>
      </c>
      <c r="D6" s="39">
        <f>IF(C6=0,0,C6/B6)</f>
        <v/>
      </c>
      <c r="E6" s="38" t="n">
        <v>1.5</v>
      </c>
      <c r="F6" s="37">
        <f>C6+E6</f>
        <v/>
      </c>
      <c r="G6" s="16">
        <f>F6/$F$10</f>
        <v/>
      </c>
      <c r="H6" s="8" t="inlineStr">
        <is>
          <t>5x lo que dice la hoja. Incluye power-cycle y calentamiento: es un sensor de disparo unico, mide al alimentarse.</t>
        </is>
      </c>
    </row>
    <row r="7">
      <c r="A7" s="5" t="inlineStr">
        <is>
          <t>BMV080 (particulas)</t>
        </is>
      </c>
      <c r="B7" s="37" t="n">
        <v>20</v>
      </c>
      <c r="C7" s="38" t="n">
        <v>2.114</v>
      </c>
      <c r="D7" s="39">
        <f>IF(C7=0,0,C7/B7)</f>
        <v/>
      </c>
      <c r="E7" s="38" t="n">
        <v>1.5</v>
      </c>
      <c r="F7" s="37">
        <f>C7+E7</f>
        <v/>
      </c>
      <c r="G7" s="16">
        <f>F7/$F$10</f>
        <v/>
      </c>
      <c r="H7" s="8" t="inlineStr">
        <is>
          <t>Su arranque de 5 s se cobra dentro de la recuperacion del BME690, no en su propio slot. Coste real ~7 s repartido.</t>
        </is>
      </c>
    </row>
    <row r="8">
      <c r="A8" s="5" t="inlineStr">
        <is>
          <t>Calypso (viento)</t>
        </is>
      </c>
      <c r="B8" s="37" t="n">
        <v>1</v>
      </c>
      <c r="C8" s="38" t="n">
        <v>1.5</v>
      </c>
      <c r="D8" s="39">
        <f>IF(C8=0,0,C8/B8)</f>
        <v/>
      </c>
      <c r="E8" s="38" t="n">
        <v>1.5</v>
      </c>
      <c r="F8" s="37">
        <f>C8+E8</f>
        <v/>
      </c>
      <c r="G8" s="16">
        <f>F8/$F$10</f>
        <v/>
      </c>
      <c r="H8" s="8" t="inlineStr">
        <is>
          <t>Agota siempre la ventana completa de 1.5 s (CALYPSO_READ_WINDOW_MS).</t>
        </is>
      </c>
    </row>
    <row r="9">
      <c r="A9" s="5" t="inlineStr">
        <is>
          <t>SEN0466 (CO)</t>
        </is>
      </c>
      <c r="B9" s="37" t="n">
        <v>210</v>
      </c>
      <c r="C9" s="38" t="n">
        <v>0.024</v>
      </c>
      <c r="D9" s="39">
        <f>IF(C9=0,0,C9/B9)</f>
        <v/>
      </c>
      <c r="E9" s="38" t="n">
        <v>1.5</v>
      </c>
      <c r="F9" s="37">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0">
        <f>SUM(C5:C9)</f>
        <v/>
      </c>
      <c r="D10" s="18" t="n"/>
      <c r="E10" s="40">
        <f>SUM(E5:E9)</f>
        <v/>
      </c>
      <c r="F10" s="40">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ALARMA = 25.5 s medidos entre bursts consecutivos; el nodo no duerme.</t>
        </is>
      </c>
      <c r="L2" s="22" t="inlineStr">
        <is>
          <t>Tick real (s)</t>
        </is>
      </c>
      <c r="M2" s="23" t="n">
        <v>17.8</v>
      </c>
    </row>
    <row r="3">
      <c r="L3" s="22" t="inlineStr">
        <is>
          <t>Ciclo alarma (s)</t>
        </is>
      </c>
      <c r="M3" s="23" t="n">
        <v>25.5</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ALARMA (s)</t>
        </is>
      </c>
      <c r="H4" s="4" t="inlineStr">
        <is>
          <t>Mediciones/h ALARMA</t>
        </is>
      </c>
      <c r="I4" s="4" t="inlineStr">
        <is>
          <t>Factor alarma/normal</t>
        </is>
      </c>
      <c r="J4" s="4" t="inlineStr">
        <is>
          <t>Nota</t>
        </is>
      </c>
    </row>
    <row r="5">
      <c r="A5" s="5" t="inlineStr">
        <is>
          <t>BME690 T/H/P (centinela)</t>
        </is>
      </c>
      <c r="B5" s="24" t="n">
        <v>5</v>
      </c>
      <c r="C5" s="25" t="n">
        <v>12</v>
      </c>
      <c r="D5" s="6" t="n">
        <v>3</v>
      </c>
      <c r="E5" s="24">
        <f>D5*$M$2</f>
        <v/>
      </c>
      <c r="F5" s="25">
        <f>3600/E5</f>
        <v/>
      </c>
      <c r="G5" s="24">
        <f>$M$3</f>
        <v/>
      </c>
      <c r="H5" s="25">
        <f>3600/G5</f>
        <v/>
      </c>
      <c r="I5" s="7">
        <f>IF(F5=0,0,H5/F5)</f>
        <v/>
      </c>
      <c r="J5" s="8" t="inlineStr">
        <is>
          <t>SENSOR_READ=3</t>
        </is>
      </c>
    </row>
    <row r="6">
      <c r="A6" s="5" t="inlineStr">
        <is>
          <t>BME690 VOC / gas</t>
        </is>
      </c>
      <c r="B6" s="24" t="n">
        <v>20</v>
      </c>
      <c r="C6" s="25" t="n">
        <v>3</v>
      </c>
      <c r="D6" s="6" t="n">
        <v>90</v>
      </c>
      <c r="E6" s="24">
        <f>D6*$M$2</f>
        <v/>
      </c>
      <c r="F6" s="25">
        <f>3600/E6</f>
        <v/>
      </c>
      <c r="G6" s="24">
        <f>$M$3</f>
        <v/>
      </c>
      <c r="H6" s="25">
        <f>3600/G6</f>
        <v/>
      </c>
      <c r="I6" s="7">
        <f>IF(F6=0,0,H6/F6)</f>
        <v/>
      </c>
      <c r="J6" s="8" t="inlineStr">
        <is>
          <t>BURST=90</t>
        </is>
      </c>
    </row>
    <row r="7">
      <c r="A7" s="5" t="inlineStr">
        <is>
          <t>CM1106 CO2</t>
        </is>
      </c>
      <c r="B7" s="24" t="n">
        <v>30</v>
      </c>
      <c r="C7" s="25" t="n">
        <v>2</v>
      </c>
      <c r="D7" s="6" t="n">
        <v>90</v>
      </c>
      <c r="E7" s="24">
        <f>D7*$M$2</f>
        <v/>
      </c>
      <c r="F7" s="25">
        <f>3600/E7</f>
        <v/>
      </c>
      <c r="G7" s="24">
        <f>$M$3</f>
        <v/>
      </c>
      <c r="H7" s="25">
        <f>3600/G7</f>
        <v/>
      </c>
      <c r="I7" s="7">
        <f>IF(F7=0,0,H7/F7)</f>
        <v/>
      </c>
      <c r="J7" s="8" t="inlineStr">
        <is>
          <t>BURST=90</t>
        </is>
      </c>
    </row>
    <row r="8">
      <c r="A8" s="5" t="inlineStr">
        <is>
          <t>BMV080 particulas</t>
        </is>
      </c>
      <c r="B8" s="24" t="n">
        <v>30</v>
      </c>
      <c r="C8" s="25" t="n">
        <v>2</v>
      </c>
      <c r="D8" s="6" t="n">
        <v>90</v>
      </c>
      <c r="E8" s="24">
        <f>D8*$M$2</f>
        <v/>
      </c>
      <c r="F8" s="25">
        <f>3600/E8</f>
        <v/>
      </c>
      <c r="G8" s="24">
        <f>$M$3</f>
        <v/>
      </c>
      <c r="H8" s="25">
        <f>3600/G8</f>
        <v/>
      </c>
      <c r="I8" s="7">
        <f>IF(F8=0,0,H8/F8)</f>
        <v/>
      </c>
      <c r="J8" s="8" t="inlineStr">
        <is>
          <t>BURST=90</t>
        </is>
      </c>
    </row>
    <row r="9">
      <c r="A9" s="5" t="inlineStr">
        <is>
          <t>Calypso viento</t>
        </is>
      </c>
      <c r="B9" s="24" t="n">
        <v>5</v>
      </c>
      <c r="C9" s="9" t="n"/>
      <c r="D9" s="6" t="n">
        <v>90</v>
      </c>
      <c r="E9" s="24">
        <f>D9*$M$2</f>
        <v/>
      </c>
      <c r="F9" s="25">
        <f>3600/E9</f>
        <v/>
      </c>
      <c r="G9" s="24">
        <f>$M$3</f>
        <v/>
      </c>
      <c r="H9" s="25">
        <f>3600/G9</f>
        <v/>
      </c>
      <c r="I9" s="7">
        <f>IF(F9=0,0,H9/F9)</f>
        <v/>
      </c>
      <c r="J9" s="8" t="inlineStr">
        <is>
          <t>BURST=90</t>
        </is>
      </c>
    </row>
    <row r="10">
      <c r="A10" s="5" t="inlineStr">
        <is>
          <t>SEN0466 CO</t>
        </is>
      </c>
      <c r="B10" s="24" t="n">
        <v>30</v>
      </c>
      <c r="C10" s="25" t="n">
        <v>2</v>
      </c>
      <c r="D10" s="26" t="inlineStr">
        <is>
          <t>excluido</t>
        </is>
      </c>
      <c r="E10" s="26" t="inlineStr">
        <is>
          <t>nunca</t>
        </is>
      </c>
      <c r="F10" s="27" t="n">
        <v>0</v>
      </c>
      <c r="G10" s="24">
        <f>$M$3</f>
        <v/>
      </c>
      <c r="H10" s="25">
        <f>3600/G10</f>
        <v/>
      </c>
      <c r="I10" s="7">
        <f>IF(F10=0,0,H10/F10)</f>
        <v/>
      </c>
      <c r="J10" s="8" t="inlineStr">
        <is>
          <t>En NORMAL sigue excluido: el sueno corta los railes y no puede acumular 210 s. En PRE-ALARMA y ALARMA el nodo no duerme, calienta una vez (~3.5 min) y ya mide.</t>
        </is>
      </c>
    </row>
    <row r="11">
      <c r="A11" s="5" t="inlineStr">
        <is>
          <t>TX LoRa  C -&gt; B</t>
        </is>
      </c>
      <c r="B11" s="9" t="n"/>
      <c r="C11" s="9" t="n"/>
      <c r="D11" s="6" t="n">
        <v>4</v>
      </c>
      <c r="E11" s="24">
        <f>D11*$M$2</f>
        <v/>
      </c>
      <c r="F11" s="25">
        <f>3600/E11</f>
        <v/>
      </c>
      <c r="G11" s="24">
        <f>$M$3</f>
        <v/>
      </c>
      <c r="H11" s="25">
        <f>3600/G11</f>
        <v/>
      </c>
      <c r="I11" s="7">
        <f>IF(F11=0,0,H11/F11)</f>
        <v/>
      </c>
      <c r="J11" s="8" t="inlineStr">
        <is>
          <t>LORA_TRANS=4</t>
        </is>
      </c>
    </row>
    <row r="13">
      <c r="A13" s="17" t="inlineStr">
        <is>
          <t>Envio B -&gt; Modulo A</t>
        </is>
      </c>
      <c r="B13" s="28" t="n">
        <v>30</v>
      </c>
      <c r="C13" s="29" t="n">
        <v>2</v>
      </c>
      <c r="D13" s="18" t="n"/>
      <c r="E13" s="30" t="n">
        <v>65.40000000000001</v>
      </c>
      <c r="F13" s="29">
        <f>3600/E13</f>
        <v/>
      </c>
      <c r="G13" s="18" t="n"/>
      <c r="H13" s="18" t="n"/>
      <c r="I13" s="18" t="n"/>
      <c r="J13" s="21" t="inlineStr">
        <is>
          <t>138 intervalos reales. mediana 65.4 s / media 61.7 / p25 41.6 / p75 71.6 / max 125. La hoja asume 30 min: 27x de error.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25.5 s.</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2026-10-06T15:00:45Z</dcterms:created>
  <dcterms:modified xsi:type="dcterms:W3CDTF">2026-10-06T15:00:45Z</dcterms:modified>
</cp:coreProperties>
</file>