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mpieza aqui" sheetId="1" state="visible" r:id="rId1"/>
    <sheet name="Resumen" sheetId="2" state="visible" r:id="rId2"/>
    <sheet name="Tiempos por sensor" sheetId="3" state="visible" r:id="rId3"/>
    <sheet name="Periodos y mediciones" sheetId="4" state="visible" r:id="rId4"/>
    <sheet name="Metodo" sheetId="5" state="visible" r:id="rId5"/>
  </sheets>
  <definedNames/>
  <calcPr calcId="124519" fullCalcOnLoad="1"/>
</workbook>
</file>

<file path=xl/styles.xml><?xml version="1.0" encoding="utf-8"?>
<styleSheet xmlns="http://schemas.openxmlformats.org/spreadsheetml/2006/main">
  <numFmts count="4">
    <numFmt numFmtId="164" formatCode="0.0x"/>
    <numFmt numFmtId="165" formatCode="0.000"/>
    <numFmt numFmtId="166" formatCode="0.00x"/>
    <numFmt numFmtId="167" formatCode="0.0"/>
  </numFmts>
  <fonts count="11">
    <font>
      <name val="Calibri"/>
      <family val="2"/>
      <color theme="1"/>
      <sz val="11"/>
      <scheme val="minor"/>
    </font>
    <font>
      <name val="Arial"/>
      <b val="1"/>
      <sz val="12"/>
    </font>
    <font>
      <name val="Arial"/>
      <i val="1"/>
      <color rgb="00555555"/>
      <sz val="9"/>
    </font>
    <font>
      <name val="Arial"/>
      <b val="1"/>
      <sz val="10"/>
    </font>
    <font>
      <name val="Arial"/>
      <b val="1"/>
      <color rgb="00FFFFFF"/>
      <sz val="10"/>
    </font>
    <font>
      <name val="Arial"/>
      <sz val="10"/>
    </font>
    <font>
      <name val="Arial"/>
      <color rgb="000000FF"/>
      <sz val="10"/>
    </font>
    <font>
      <name val="Arial"/>
      <b val="1"/>
      <sz val="11"/>
    </font>
    <font>
      <name val="Arial"/>
      <b val="1"/>
      <sz val="13"/>
    </font>
    <font>
      <name val="Arial"/>
      <i val="1"/>
      <color rgb="00555555"/>
      <sz val="10"/>
    </font>
    <font>
      <name val="Arial"/>
      <b val="1"/>
      <color rgb="00FFFFFF"/>
      <sz val="11"/>
    </font>
  </fonts>
  <fills count="7">
    <fill>
      <patternFill/>
    </fill>
    <fill>
      <patternFill patternType="gray125"/>
    </fill>
    <fill>
      <patternFill patternType="solid">
        <fgColor rgb="001F4E79"/>
      </patternFill>
    </fill>
    <fill>
      <patternFill patternType="solid">
        <fgColor rgb="00FCE4E4"/>
      </patternFill>
    </fill>
    <fill>
      <patternFill patternType="solid">
        <fgColor rgb="00D9E1F2"/>
      </patternFill>
    </fill>
    <fill>
      <patternFill patternType="solid">
        <fgColor rgb="00FFF2CC"/>
      </patternFill>
    </fill>
    <fill>
      <patternFill patternType="solid">
        <fgColor rgb="00EAF1F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9" fontId="6" fillId="0" borderId="1" applyAlignment="1" pivotButton="0" quotePrefix="0" xfId="0">
      <alignment vertical="top" wrapText="1"/>
    </xf>
    <xf numFmtId="164" fontId="5" fillId="3" borderId="1" applyAlignment="1" pivotButton="0" quotePrefix="0" xfId="0">
      <alignment vertical="top" wrapText="1"/>
    </xf>
    <xf numFmtId="0" fontId="5" fillId="0" borderId="0" pivotButton="0" quotePrefix="0" xfId="0"/>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9" fontId="5" fillId="0" borderId="1" applyAlignment="1" pivotButton="0" quotePrefix="0" xfId="0">
      <alignment vertical="top" wrapText="1"/>
    </xf>
    <xf numFmtId="0" fontId="3" fillId="4" borderId="1" applyAlignment="1" pivotButton="0" quotePrefix="0" xfId="0">
      <alignment vertical="top" wrapText="1"/>
    </xf>
    <xf numFmtId="0" fontId="0" fillId="4" borderId="1" applyAlignment="1" pivotButton="0" quotePrefix="0" xfId="0">
      <alignment vertical="top" wrapText="1"/>
    </xf>
    <xf numFmtId="165" fontId="5" fillId="4" borderId="1" applyAlignment="1" pivotButton="0" quotePrefix="0" xfId="0">
      <alignment vertical="top" wrapText="1"/>
    </xf>
    <xf numFmtId="9" fontId="5" fillId="4" borderId="1" applyAlignment="1" pivotButton="0" quotePrefix="0" xfId="0">
      <alignment vertical="top" wrapText="1"/>
    </xf>
    <xf numFmtId="0" fontId="2" fillId="4" borderId="1" applyAlignment="1" pivotButton="0" quotePrefix="0" xfId="0">
      <alignment vertical="top" wrapText="1"/>
    </xf>
    <xf numFmtId="0" fontId="6" fillId="5" borderId="0" pivotButton="0" quotePrefix="0" xfId="0"/>
    <xf numFmtId="167" fontId="5" fillId="0" borderId="1" applyAlignment="1" pivotButton="0" quotePrefix="0" xfId="0">
      <alignment vertical="top" wrapText="1"/>
    </xf>
    <xf numFmtId="2" fontId="5" fillId="0" borderId="1" applyAlignment="1" pivotButton="0" quotePrefix="0" xfId="0">
      <alignment vertical="top" wrapText="1"/>
    </xf>
    <xf numFmtId="167" fontId="5" fillId="4" borderId="1" applyAlignment="1" pivotButton="0" quotePrefix="0" xfId="0">
      <alignment vertical="top" wrapText="1"/>
    </xf>
    <xf numFmtId="2" fontId="5" fillId="4" borderId="1" applyAlignment="1" pivotButton="0" quotePrefix="0" xfId="0">
      <alignment vertical="top" wrapText="1"/>
    </xf>
    <xf numFmtId="167" fontId="6" fillId="4" borderId="1" applyAlignment="1" pivotButton="0" quotePrefix="0" xfId="0">
      <alignment vertical="top" wrapText="1"/>
    </xf>
    <xf numFmtId="0" fontId="7"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3" fillId="5" borderId="0" applyAlignment="1" pivotButton="0" quotePrefix="0" xfId="0">
      <alignment vertical="top" wrapText="1"/>
    </xf>
    <xf numFmtId="0" fontId="5" fillId="5"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2" borderId="1" pivotButton="0" quotePrefix="0" xfId="0"/>
    <xf numFmtId="0" fontId="0" fillId="2" borderId="1" pivotButton="0" quotePrefix="0" xfId="0"/>
    <xf numFmtId="0" fontId="3" fillId="6" borderId="1" applyAlignment="1" pivotButton="0" quotePrefix="0" xfId="0">
      <alignment vertical="top" wrapText="1"/>
    </xf>
    <xf numFmtId="0" fontId="3" fillId="5" borderId="1" applyAlignment="1" pivotButton="0" quotePrefix="0" xfId="0">
      <alignment vertical="top" wrapText="1"/>
    </xf>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165"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30" customWidth="1" min="1" max="1"/>
    <col width="104" customWidth="1" min="2" max="2"/>
  </cols>
  <sheetData>
    <row r="1">
      <c r="A1" s="33" t="inlineStr">
        <is>
          <t>Modulo C: que mide, cada cuanto, y por que</t>
        </is>
      </c>
    </row>
    <row r="2">
      <c r="B2" s="34" t="inlineStr">
        <is>
          <t>Esta hoja explica las otras. Si es la primera vez que ves este libro, leela entera: son cinco minutos y sin ella los numeros no significan nada.</t>
        </is>
      </c>
    </row>
    <row r="4" ht="22" customHeight="1">
      <c r="A4" s="35" t="inlineStr">
        <is>
          <t>QUE ES EL MODULO C</t>
        </is>
      </c>
      <c r="B4" s="36" t="inlineStr"/>
    </row>
    <row r="5" ht="28" customHeight="1">
      <c r="A5" s="37" t="inlineStr">
        <is>
          <t>En una frase</t>
        </is>
      </c>
      <c r="B5" s="5" t="inlineStr">
        <is>
          <t>Es una caja con cinco sensores que se deja en el monte para detectar un incendio antes de que sea grande. Mide temperatura, humedad, humo, gases y viento, y manda los datos por radio.</t>
        </is>
      </c>
    </row>
    <row r="6" ht="37.5" customHeight="1">
      <c r="A6" s="37" t="inlineStr">
        <is>
          <t>Funciona con bateria</t>
        </is>
      </c>
      <c r="B6" s="5" t="inlineStr">
        <is>
          <t>Y esa es la restriccion que explica TODO lo demas. No hay enchufe en el monte, asi que el aparato pasa la mayor parte del tiempo APAGADO - dormido - y solo se despierta a ratos para medir. Cada decision de diseno sale de ahi.</t>
        </is>
      </c>
    </row>
    <row r="7" ht="28" customHeight="1">
      <c r="A7" s="37" t="inlineStr">
        <is>
          <t>Los cinco sensores</t>
        </is>
      </c>
      <c r="B7" s="5" t="inlineStr">
        <is>
          <t>BME690: temperatura, humedad, presion y gases.  BMV080: particulas, o sea humo.  CM1106: CO2.  SEN0466: monoxido de carbono.  Calypso: viento.</t>
        </is>
      </c>
    </row>
    <row r="9" ht="22" customHeight="1">
      <c r="A9" s="35" t="inlineStr">
        <is>
          <t>EL TICK: LA UNIDAD DE TIEMPO</t>
        </is>
      </c>
      <c r="B9" s="36" t="inlineStr"/>
    </row>
    <row r="10" ht="28" customHeight="1">
      <c r="A10" s="37" t="inlineStr">
        <is>
          <t>Que es un tick</t>
        </is>
      </c>
      <c r="B10" s="5" t="inlineStr">
        <is>
          <t>UN DESPERTAR. El aparato duerme, se despierta, mira que le toca hacer, lo hace, y se vuelve a dormir. A cada una de esas veces la llamamos un tick.</t>
        </is>
      </c>
    </row>
    <row r="11" ht="37.5" customHeight="1">
      <c r="A11" s="37" t="inlineStr">
        <is>
          <t>Por que se cuenta en ticks y no en minutos</t>
        </is>
      </c>
      <c r="B11" s="5" t="inlineStr">
        <is>
          <t>Porque mientras duerme no tiene reloj. Al despertar no sabe cuanto tiempo ha pasado, solo sabe contar cuantas veces se ha despertado. Asi que el programa no dice 'mide cada 15 minutos', dice 'mide cada 90 despertares'.</t>
        </is>
      </c>
    </row>
    <row r="12" ht="37.5" customHeight="1">
      <c r="A12" s="37" t="inlineStr">
        <is>
          <t>Cuanto dura un tick</t>
        </is>
      </c>
      <c r="B12" s="5" t="inlineStr">
        <is>
          <t>EN EL PROGRAMA pone 10 segundos: es lo que se programa dormir. PERO EN LA REALIDAD son 17.8 segundos, porque ademas de dormir 10 s esta despierto unos 8 s haciendo el trabajo. Los 17.8 s estan medidos sobre la placa.</t>
        </is>
      </c>
    </row>
    <row r="13" ht="37.5" customHeight="1">
      <c r="A13" s="37" t="inlineStr">
        <is>
          <t>Por que importa tanto</t>
        </is>
      </c>
      <c r="B13" s="5" t="inlineStr">
        <is>
          <t>Porque para pasar de 'cada 90 ticks' a minutos hay que multiplicar por 17.8, no por 10. Si se usa el 10, todos los periodos salen un 78% mas cortos de lo que son en realidad. Es el error mas comun al leer estas cifras.</t>
        </is>
      </c>
    </row>
    <row r="15" ht="22" customHeight="1">
      <c r="A15" s="35" t="inlineStr">
        <is>
          <t>LAS DOS CLASES DE LECTURA</t>
        </is>
      </c>
      <c r="B15" s="36" t="inlineStr"/>
    </row>
    <row r="16" ht="28" customHeight="1">
      <c r="A16" s="37" t="inlineStr">
        <is>
          <t>No lee todo cada vez</t>
        </is>
      </c>
      <c r="B16" s="5" t="inlineStr">
        <is>
          <t>Hay dos tipos de lectura, y es importante no confundirlos porque van a ritmos muy distintos.</t>
        </is>
      </c>
    </row>
    <row r="17" ht="28" customHeight="1">
      <c r="A17" s="37" t="inlineStr">
        <is>
          <t>1. CENTINELA  (lectura barata)</t>
        </is>
      </c>
      <c r="B17" s="5" t="inlineStr">
        <is>
          <t>Lee solo temperatura, humedad y presion. Es rapido y gasta poco. Se hace cada 3 ticks, o sea cada 53 segundos. Sirve para vigilar en continuo por si algo empieza.</t>
        </is>
      </c>
    </row>
    <row r="18" ht="37.5" customHeight="1">
      <c r="A18" s="37" t="inlineStr">
        <is>
          <t>2. BURST  (lectura completa)</t>
        </is>
      </c>
      <c r="B18" s="5" t="inlineStr">
        <is>
          <t>'Burst' es el nombre que le pusimos en el programa; en castellano seria LECTURA COMPLETA. Lee LOS CINCO SENSORES, incluidos los caros. Se hace cada 90 ticks, o sea cada 26.7 minutos, y tarda 18.57 segundos durante los cuales el aparato esta despierto entero.</t>
        </is>
      </c>
    </row>
    <row r="19" ht="50" customHeight="1">
      <c r="A19" s="37" t="inlineStr">
        <is>
          <t>Por que no leerlo todo siempre</t>
        </is>
      </c>
      <c r="B19" s="5" t="inlineStr">
        <is>
          <t>Porque los sensores caros gastan mucho: el de humo enciende un laser que consume 68 mA, el de gases calienta una resistencia a 320 grados, y el de CO2 hay que apagarlo y encenderlo entero cada vez. Hacer eso cada minuto vaciaria la bateria sin detectar nada antes: el humo y el CO2 no cambian de un segundo a otro. La temperatura si puede subir rapido, y por eso esa si se vigila seguido.</t>
        </is>
      </c>
    </row>
    <row r="21" ht="22" customHeight="1">
      <c r="A21" s="35" t="inlineStr">
        <is>
          <t>LOS TRES ESTADOS</t>
        </is>
      </c>
      <c r="B21" s="36" t="inlineStr"/>
    </row>
    <row r="22" ht="28" customHeight="1">
      <c r="A22" s="37" t="inlineStr">
        <is>
          <t>NORMAL</t>
        </is>
      </c>
      <c r="B22" s="5" t="inlineStr">
        <is>
          <t>Lo habitual. Duerme entre lectura y lectura, hace un centinela cada 53 s y una lectura completa cada 26.7 min. Esta despierto un 45% del tiempo.</t>
        </is>
      </c>
    </row>
    <row r="23" ht="37.5" customHeight="1">
      <c r="A23" s="37" t="inlineStr">
        <is>
          <t>PRE-ALARMA</t>
        </is>
      </c>
      <c r="B23" s="5" t="inlineStr">
        <is>
          <t>Algun sensor ha cruzado su umbral. DEJA DE DORMIR y mide sin parar: una lectura completa cada 24.9 segundos. Tiene 10 minutos para confirmar; si en ese rato la cosa no se calma, pasa a ALARMA, y si se calma vuelve a NORMAL.</t>
        </is>
      </c>
    </row>
    <row r="24" ht="37.5" customHeight="1">
      <c r="A24" s="37" t="inlineStr">
        <is>
          <t>ALARMA</t>
        </is>
      </c>
      <c r="B24" s="5" t="inlineStr">
        <is>
          <t>Confirmado. Se comporta EXACTAMENTE IGUAL que la pre-alarma - mismo codigo, mismos tiempos - asi que en las tablas los dos estados comparten columna. Lo unico que cambia es lo que se avisa hacia arriba.</t>
        </is>
      </c>
    </row>
    <row r="26" ht="22" customHeight="1">
      <c r="A26" s="35" t="inlineStr">
        <is>
          <t>COMO LEER CADA HOJA</t>
        </is>
      </c>
      <c r="B26" s="36" t="inlineStr"/>
    </row>
    <row r="27" ht="28" customHeight="1">
      <c r="A27" s="37" t="inlineStr">
        <is>
          <t>Tiempos por sensor</t>
        </is>
      </c>
      <c r="B27" s="5" t="inlineStr">
        <is>
          <t>Cuanto ocupa cada sensor. Dos columnas: TIEMPO MEDIDO es lo que tarda el sensor en si, y ESPERA OBLIGATORIA es el tiempo PARADO que hay que dejar despues, antes de arrancar el siguiente.</t>
        </is>
      </c>
    </row>
    <row r="28" ht="50" customHeight="1">
      <c r="A28" s="37" t="inlineStr">
        <is>
          <t>Por que hay que esperar</t>
        </is>
      </c>
      <c r="B28" s="5" t="inlineStr">
        <is>
          <t>Porque los sensores NO PUEDEN FUNCIONAR A LA VEZ: el consumo de dos a la vez hunde la alimentacion y la placa se reinicia - se midieron 31 reinicios leyendo en paralelo frente a 2 leyendo de uno en uno. Asi que se leen en fila india, dejando un hueco de 1.5 s entre uno y otro para que al primero le de tiempo a dejar de consumir.</t>
        </is>
      </c>
    </row>
    <row r="29" ht="37.5" customHeight="1">
      <c r="A29" s="37" t="inlineStr">
        <is>
          <t>El caso del BME690: 6.1 s</t>
        </is>
      </c>
      <c r="B29" s="5" t="inlineStr">
        <is>
          <t>Despues de que su sensor de gases caliente a 320 grados, el sensor de humo NO ARRANCA si solo se espera - se probo con 0.25 s y con 1.5 s y no bastaba. Hay que CORTAR la alimentacion y volver a darla. Esos 6.1 s son ese corte mas los 5 s que el sensor de humo necesita para iniciarse.</t>
        </is>
      </c>
    </row>
    <row r="30" ht="37.5" customHeight="1">
      <c r="A30" s="37" t="inlineStr">
        <is>
          <t>Y esto gasta bateria</t>
        </is>
      </c>
      <c r="B30" s="5" t="inlineStr">
        <is>
          <t>Aunque no se mida nada. El microcontrolador sigue despierto consumiendo sus ~35 mA. De los 18.57 s que dura una lectura completa, SOLO 7.2 s son medir: los otros 11.4 s son estas esperas. El 61% del gasto no es medicion.</t>
        </is>
      </c>
    </row>
    <row r="31" ht="28" customHeight="1">
      <c r="A31" s="37" t="inlineStr">
        <is>
          <t>Periodos y mediciones</t>
        </is>
      </c>
      <c r="B31" s="5" t="inlineStr">
        <is>
          <t>Cada cuanto se mide cada cosa y cuantas veces por hora. Compara lo que decia la hoja original (columnas B y C) con lo medido (de la D en adelante). Mira el ejemplo resuelto del final de esa hoja.</t>
        </is>
      </c>
    </row>
    <row r="32" ht="28" customHeight="1">
      <c r="A32" s="37" t="inlineStr">
        <is>
          <t>Resumen</t>
        </is>
      </c>
      <c r="B32" s="5" t="inlineStr">
        <is>
          <t>Las cuatro cifras que mas cambian respecto a la hoja original.</t>
        </is>
      </c>
    </row>
    <row r="33" ht="28" customHeight="1">
      <c r="A33" s="37" t="inlineStr">
        <is>
          <t>Metodo</t>
        </is>
      </c>
      <c r="B33" s="5" t="inlineStr">
        <is>
          <t>Como se obtuvo cada numero, para que cualquiera pueda repetirlo y comprobarlo.</t>
        </is>
      </c>
    </row>
    <row r="34" ht="37.5" customHeight="1">
      <c r="A34" s="37" t="inlineStr">
        <is>
          <t>Los colores</t>
        </is>
      </c>
      <c r="B34" s="5" t="inlineStr">
        <is>
          <t>AZUL = medido sobre la placa, es un dato duro. NEGRO = calculado con una formula a partir de los azules. AMARILLO = las dos constantes medidas de las que depende todo lo demas; si se cambian, el libro entero se recalcula.</t>
        </is>
      </c>
    </row>
    <row r="36">
      <c r="A36" s="33" t="inlineStr">
        <is>
          <t>EN UNA LINEA</t>
        </is>
      </c>
    </row>
    <row r="37" ht="42" customHeight="1">
      <c r="B37" s="38" t="inlineStr">
        <is>
          <t>El aparato duerme para ahorrar bateria y se despierta cada 17.8 segundos. Cada 3 despertares mira la temperatura; cada 90 lo mide todo. Si algo cruza un umbral deja de dormir y lo mide todo cada 25 segundos.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8" customWidth="1" min="1" max="1"/>
    <col width="14" customWidth="1" min="2" max="2"/>
    <col width="14" customWidth="1" min="3" max="3"/>
    <col width="10" customWidth="1" min="4" max="4"/>
    <col width="12" customWidth="1" min="5" max="5"/>
    <col width="58" customWidth="1" min="6" max="6"/>
  </cols>
  <sheetData>
    <row r="1">
      <c r="A1" s="1" t="inlineStr">
        <is>
          <t>Modulo C - tiempos reales medidos sobre el nodo C3</t>
        </is>
      </c>
    </row>
    <row r="2">
      <c r="A2" s="2" t="inlineStr">
        <is>
          <t>Medido el 2026-10-06 sobre la placa C3 (MAC 28:84:85:6F:82:88). Azul = valor medido. Negro = calculado por formula.</t>
        </is>
      </c>
    </row>
    <row r="3">
      <c r="A3" s="3" t="inlineStr">
        <is>
          <t>El dato que mas cambia el modelo: el tick real son 17.8 s, no los 10 s nominales.</t>
        </is>
      </c>
    </row>
    <row r="5" ht="30" customHeight="1">
      <c r="A5" s="4" t="inlineStr">
        <is>
          <t>Magnitud</t>
        </is>
      </c>
      <c r="B5" s="4" t="inlineStr">
        <is>
          <t>Hoja original</t>
        </is>
      </c>
      <c r="C5" s="4" t="inlineStr">
        <is>
          <t>MEDIDO</t>
        </is>
      </c>
      <c r="D5" s="4" t="inlineStr">
        <is>
          <t>Unidad</t>
        </is>
      </c>
      <c r="E5" s="4" t="inlineStr">
        <is>
          <t>Medido / Hoja</t>
        </is>
      </c>
      <c r="F5" s="4" t="inlineStr">
        <is>
          <t>Como se midio</t>
        </is>
      </c>
    </row>
    <row r="6">
      <c r="A6" s="5" t="inlineStr">
        <is>
          <t>Tick del planificador</t>
        </is>
      </c>
      <c r="B6" s="5" t="n">
        <v>10</v>
      </c>
      <c r="C6" s="6" t="n">
        <v>17.8</v>
      </c>
      <c r="D6" s="5" t="inlineStr">
        <is>
          <t>s</t>
        </is>
      </c>
      <c r="E6" s="7">
        <f>C6/B6</f>
        <v/>
      </c>
      <c r="F6" s="8" t="inlineStr">
        <is>
          <t>37 intervalos STAT-a-STAT en dos capturas independientes de Modulo B</t>
        </is>
      </c>
    </row>
    <row r="7">
      <c r="A7" s="5" t="inlineStr">
        <is>
          <t>Duty despierto del nodo (normal)</t>
        </is>
      </c>
      <c r="B7" s="9" t="n"/>
      <c r="C7" s="10" t="n">
        <v>0.45</v>
      </c>
      <c r="D7" s="5" t="inlineStr">
        <is>
          <t>%</t>
        </is>
      </c>
      <c r="E7" s="9" t="n"/>
      <c r="F7" s="8" t="inlineStr">
        <is>
          <t>17.8 s de tick menos 10 s de deep sleep = 7.8-8.1 s despierto</t>
        </is>
      </c>
    </row>
    <row r="8">
      <c r="A8" s="5" t="inlineStr">
        <is>
          <t>Burst completo (5 sensores)</t>
        </is>
      </c>
      <c r="B8" s="9" t="n"/>
      <c r="C8" s="6" t="n">
        <v>18.54</v>
      </c>
      <c r="D8" s="5" t="inlineStr">
        <is>
          <t>s</t>
        </is>
      </c>
      <c r="E8" s="9" t="n"/>
      <c r="F8" s="8" t="inlineStr">
        <is>
          <t>11 bursts con el Calypso leyendo y el rail de 5V mantenido (2026-10-07). Bajo desde 19.29 s: el Calypso deja de agotar su ventana y el CM1106 recupera un segundo. Identico en pre-alarma y en alarma: comparten rama de codigo</t>
        </is>
      </c>
    </row>
    <row r="9">
      <c r="A9" s="5" t="inlineStr">
        <is>
          <t>Envio B -&gt; Modulo A</t>
        </is>
      </c>
      <c r="B9" s="5" t="n">
        <v>1800</v>
      </c>
      <c r="C9" s="6" t="n">
        <v>65.40000000000001</v>
      </c>
      <c r="D9" s="5" t="inlineStr">
        <is>
          <t>s</t>
        </is>
      </c>
      <c r="E9" s="11">
        <f>C9/B9</f>
        <v/>
      </c>
      <c r="F9" s="8" t="inlineStr">
        <is>
          <t>138 intervalos reales de publicacion a ThingsBoard, mediana</t>
        </is>
      </c>
    </row>
    <row r="11">
      <c r="A11" s="12" t="inlineStr">
        <is>
          <t>El periodo de envio a Modulo A conviene revisarlo: medido son ~65 s. Como la radio es la carga mayor del nodo, es el dato que mas pesa en el consumo por hora.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15" customWidth="1" min="2" max="2"/>
    <col width="16" customWidth="1" min="3" max="3"/>
    <col width="10" customWidth="1" min="4" max="4"/>
    <col width="16" customWidth="1" min="5" max="5"/>
    <col width="13" customWidth="1" min="6" max="6"/>
    <col width="11" customWidth="1" min="7" max="7"/>
    <col width="62" customWidth="1" min="8" max="8"/>
  </cols>
  <sheetData>
    <row r="1">
      <c r="A1" s="1" t="inlineStr">
        <is>
          <t>t activo por ciclo - tiempo que cada sensor ocupa en cada despertar</t>
        </is>
      </c>
    </row>
    <row r="2">
      <c r="A2" s="2" t="inlineStr">
        <is>
          <t>Cuanto ocupa cada sensor en una lectura completa. TIEMPO MEDIDO es lo que tarda el sensor en si. ESPERA OBLIGATORIA es el tiempo parado que hay que dejar despues, antes de arrancar el siguiente: los sensores no pueden funcionar a la vez porque el consumo simultaneo reinicia la placa (se midieron 31 reinicios frente a 2). Las dos cuentan para la bateria, porque el microcontrolador esta despierto durante ambas.</t>
        </is>
      </c>
    </row>
    <row r="4" ht="30" customHeight="1">
      <c r="A4" s="4" t="inlineStr">
        <is>
          <t>Sensor</t>
        </is>
      </c>
      <c r="B4" s="4" t="inlineStr">
        <is>
          <t>Tiempo HOJA (s)</t>
        </is>
      </c>
      <c r="C4" s="4" t="inlineStr">
        <is>
          <t>Tiempo MEDIDO (s)</t>
        </is>
      </c>
      <c r="D4" s="4" t="inlineStr">
        <is>
          <t>Factor</t>
        </is>
      </c>
      <c r="E4" s="4" t="inlineStr">
        <is>
          <t>Espera obligatoria despues (s)</t>
        </is>
      </c>
      <c r="F4" s="4" t="inlineStr">
        <is>
          <t>Coste total (s)</t>
        </is>
      </c>
      <c r="G4" s="4" t="inlineStr">
        <is>
          <t>% del total</t>
        </is>
      </c>
      <c r="H4" s="4" t="inlineStr">
        <is>
          <t>Nota</t>
        </is>
      </c>
    </row>
    <row r="5">
      <c r="A5" s="5" t="inlineStr">
        <is>
          <t>BME690 (T/H/P + gas)</t>
        </is>
      </c>
      <c r="B5" s="39" t="n">
        <v>10.8</v>
      </c>
      <c r="C5" s="40" t="n">
        <v>0.037</v>
      </c>
      <c r="D5" s="41">
        <f>IF(C5=0,0,C5/B5)</f>
        <v/>
      </c>
      <c r="E5" s="40" t="n">
        <v>6.101</v>
      </c>
      <c r="F5" s="39">
        <f>C5+E5</f>
        <v/>
      </c>
      <c r="G5" s="16">
        <f>F5/$F$10</f>
        <v/>
      </c>
      <c r="H5" s="8" t="inlineStr">
        <is>
          <t>Una sola llamada read() devuelve T/H/P Y gas en 37 ms. NO hay coste de 10.8 s: el calentador corre dentro del sensor y no bloquea el micro. La recuperacion de 6.1 s es un ciclo de rail para que el BMV080 pueda arrancar despues - no mide nada.</t>
        </is>
      </c>
    </row>
    <row r="6">
      <c r="A6" s="5" t="inlineStr">
        <is>
          <t>CM1106 (CO2)</t>
        </is>
      </c>
      <c r="B6" s="39" t="n">
        <v>0.7</v>
      </c>
      <c r="C6" s="40" t="n">
        <v>3.513</v>
      </c>
      <c r="D6" s="41">
        <f>IF(C6=0,0,C6/B6)</f>
        <v/>
      </c>
      <c r="E6" s="40" t="n">
        <v>1.5</v>
      </c>
      <c r="F6" s="39">
        <f>C6+E6</f>
        <v/>
      </c>
      <c r="G6" s="16">
        <f>F6/$F$10</f>
        <v/>
      </c>
      <c r="H6" s="8" t="inlineStr">
        <is>
          <t>5x lo que dice la hoja. Incluye power-cycle y calentamiento: es un sensor de disparo unico, mide al alimentarse. Llego a 4.500 s mientras el rail de 5V se cortaba en cada transmision y volvio a 3.513 s al mantenerlo (TX_KEEP_5V_RAIL), asi que sufria lo mismo que el Calypso. Sigue dando Timeout a menudo: es el sensor con el problema real que queda en el nodo.</t>
        </is>
      </c>
    </row>
    <row r="7">
      <c r="A7" s="5" t="inlineStr">
        <is>
          <t>BMV080 (particulas)</t>
        </is>
      </c>
      <c r="B7" s="39" t="n">
        <v>20</v>
      </c>
      <c r="C7" s="40" t="n">
        <v>2.135</v>
      </c>
      <c r="D7" s="41">
        <f>IF(C7=0,0,C7/B7)</f>
        <v/>
      </c>
      <c r="E7" s="40" t="n">
        <v>1.5</v>
      </c>
      <c r="F7" s="39">
        <f>C7+E7</f>
        <v/>
      </c>
      <c r="G7" s="16">
        <f>F7/$F$10</f>
        <v/>
      </c>
      <c r="H7" s="8" t="inlineStr">
        <is>
          <t>Su arranque de 5 s se cobra dentro de la recuperacion del BME690, no en su propio slot. Coste real ~7 s repartido.</t>
        </is>
      </c>
    </row>
    <row r="8">
      <c r="A8" s="5" t="inlineStr">
        <is>
          <t>Calypso (viento)</t>
        </is>
      </c>
      <c r="B8" s="39" t="n">
        <v>1</v>
      </c>
      <c r="C8" s="40" t="n">
        <v>0.774</v>
      </c>
      <c r="D8" s="41">
        <f>IF(C8=0,0,C8/B8)</f>
        <v/>
      </c>
      <c r="E8" s="40" t="n">
        <v>1.5</v>
      </c>
      <c r="F8" s="39">
        <f>C8+E8</f>
        <v/>
      </c>
      <c r="G8" s="16">
        <f>F8/$F$10</f>
        <v/>
      </c>
      <c r="H8" s="8" t="inlineStr">
        <is>
          <t>AHORA SI ES UN TIEMPO DE LECTURA. 0.774 s, con 27 bytes recibidos en las 11 de 11 lecturas. Antes daba 1.500 s clavados - la ventana entera - porque el rail de 5V se cortaba en cada transmision y el sensor no llegaba a emitir: recibia datos UNA vez tras el arranque y cero despues, mientras seguia publicando windValid=1 con el valor viejo. Con TX_KEEP_5V_RAIL lee en todos los ciclos y el slot baja 0.73 s.</t>
        </is>
      </c>
    </row>
    <row r="9">
      <c r="A9" s="5" t="inlineStr">
        <is>
          <t>SEN0466 (CO)</t>
        </is>
      </c>
      <c r="B9" s="39" t="n">
        <v>210</v>
      </c>
      <c r="C9" s="40" t="n">
        <v>0.024</v>
      </c>
      <c r="D9" s="41">
        <f>IF(C9=0,0,C9/B9)</f>
        <v/>
      </c>
      <c r="E9" s="40" t="n">
        <v>1.5</v>
      </c>
      <c r="F9" s="39">
        <f>C9+E9</f>
        <v/>
      </c>
      <c r="G9" s="16">
        <f>F9/$F$10</f>
        <v/>
      </c>
      <c r="H9" s="8" t="inlineStr">
        <is>
          <t>MEDIDO 2026-10-08: 24 ms exactos, 16 de 16 lecturas, sin una sola desviacion. Los 210 s de la hoja original son la ESTABILIZACION EN FRIO, no la lectura. Antes no se leia nunca porque cada transmision cortaba el rail de 5V y el sensor no llegaba a acumular esos 210 s; con TX_KEEP_5V_RAIL el rail se mantiene y el sensor vive. Una vez caliente SIGUE caliente aunque el microcontrolador se reinicie, porque el rail no se apaga: en esta medida leyo ya desde el primer burst, a los 4.7 s. Solo en prealarma y alarma, que es cuando el nodo no duerme.</t>
        </is>
      </c>
    </row>
    <row r="10">
      <c r="A10" s="17" t="inlineStr">
        <is>
          <t>TOTAL burst</t>
        </is>
      </c>
      <c r="B10" s="18" t="n"/>
      <c r="C10" s="42">
        <f>SUM(C5:C9)</f>
        <v/>
      </c>
      <c r="D10" s="18" t="n"/>
      <c r="E10" s="42">
        <f>SUM(E5:E9)</f>
        <v/>
      </c>
      <c r="F10" s="42">
        <f>SUM(F5:F9)</f>
        <v/>
      </c>
      <c r="G10" s="20">
        <f>F10/$F$10</f>
        <v/>
      </c>
      <c r="H10" s="21" t="inlineStr">
        <is>
          <t>Medido directamente: mediana 19.3 s (min 19.3, max 19.4, n=9). La suma de los slots lo reproduce.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4" customWidth="1" min="1" max="1"/>
    <col width="14" customWidth="1" min="2" max="2"/>
    <col width="14" customWidth="1" min="3" max="3"/>
    <col width="9" customWidth="1" min="4" max="4"/>
    <col width="14" customWidth="1" min="5" max="5"/>
    <col width="15" customWidth="1" min="6" max="6"/>
    <col width="14" customWidth="1" min="7" max="7"/>
    <col width="15" customWidth="1" min="8" max="8"/>
    <col width="13" customWidth="1" min="9" max="9"/>
    <col width="62" customWidth="1" min="10" max="10"/>
    <col width="20" customWidth="1" min="12" max="12"/>
  </cols>
  <sheetData>
    <row r="1">
      <c r="A1" s="1" t="inlineStr">
        <is>
          <t>Periodo base y mediciones por hora - NORMAL vs ALARMA</t>
        </is>
      </c>
      <c r="L1" s="3" t="inlineStr">
        <is>
          <t>Constantes medidas</t>
        </is>
      </c>
    </row>
    <row r="2">
      <c r="A2" s="2" t="inlineStr">
        <is>
          <t>Periodo NORMAL = n ticks x 17.8 s (tick real medido). Periodo PRE-ALARMA y ALARMA = 24.9 s medidos entre bursts consecutivos (2026-10-07, con el Calypso leyendo y el rail de 5V mantenido); el nodo no duerme. LOS DOS ESTADOS COMPARTEN CODIGO: la rama es if (g_alarmState &gt;= ALARM_PREALARM), con el mismo burst, el mismo gap de TX y el mismo hueco de muestreo, asi que sus tiempos son identicos y no hay que medirlos por separado. Lo unico propio de pre-alarma es el contador de su ventana de 10 min.</t>
        </is>
      </c>
      <c r="L2" s="12" t="inlineStr">
        <is>
          <t>Tick real (s)</t>
        </is>
      </c>
      <c r="M2" s="22" t="n">
        <v>17.8</v>
      </c>
    </row>
    <row r="3">
      <c r="L3" s="12" t="inlineStr">
        <is>
          <t>Ciclo alarma (s)</t>
        </is>
      </c>
      <c r="M3" s="22" t="n">
        <v>24.9</v>
      </c>
    </row>
    <row r="4" ht="30" customHeight="1">
      <c r="A4" s="4" t="inlineStr">
        <is>
          <t>Sensor / enlace</t>
        </is>
      </c>
      <c r="B4" s="4" t="inlineStr">
        <is>
          <t>Periodo HOJA (min)</t>
        </is>
      </c>
      <c r="C4" s="4" t="inlineStr">
        <is>
          <t>Mediciones/h HOJA</t>
        </is>
      </c>
      <c r="D4" s="4" t="inlineStr">
        <is>
          <t>Ticks</t>
        </is>
      </c>
      <c r="E4" s="4" t="inlineStr">
        <is>
          <t>Periodo NORMAL (s)</t>
        </is>
      </c>
      <c r="F4" s="4" t="inlineStr">
        <is>
          <t>Mediciones/h NORMAL</t>
        </is>
      </c>
      <c r="G4" s="4" t="inlineStr">
        <is>
          <t>Periodo PRE-ALARMA y ALARMA (s)</t>
        </is>
      </c>
      <c r="H4" s="4" t="inlineStr">
        <is>
          <t>Mediciones/h PRE-ALARMA y ALARMA</t>
        </is>
      </c>
      <c r="I4" s="4" t="inlineStr">
        <is>
          <t>Factor alarma/normal</t>
        </is>
      </c>
      <c r="J4" s="4" t="inlineStr">
        <is>
          <t>Nota</t>
        </is>
      </c>
    </row>
    <row r="5">
      <c r="A5" s="5" t="inlineStr">
        <is>
          <t>BME690 temp/humedad  (centinela)</t>
        </is>
      </c>
      <c r="B5" s="23" t="n">
        <v>5</v>
      </c>
      <c r="C5" s="24" t="n">
        <v>12</v>
      </c>
      <c r="D5" s="6" t="n">
        <v>3</v>
      </c>
      <c r="E5" s="23">
        <f>D5*$M$2</f>
        <v/>
      </c>
      <c r="F5" s="24">
        <f>3600/E5</f>
        <v/>
      </c>
      <c r="G5" s="23">
        <f>$M$3</f>
        <v/>
      </c>
      <c r="H5" s="24">
        <f>3600/G5</f>
        <v/>
      </c>
      <c r="I5" s="7">
        <f>IF(F5=0,"solo en alarma",H5/F5)</f>
        <v/>
      </c>
      <c r="J5" s="8" t="inlineStr">
        <is>
          <t>SENSOR_READ=3. El centinela es la lectura barata que vigila en continuo.</t>
        </is>
      </c>
    </row>
    <row r="6">
      <c r="A6" s="5" t="inlineStr">
        <is>
          <t>BME690 gases  (lectura completa)</t>
        </is>
      </c>
      <c r="B6" s="23" t="n">
        <v>20</v>
      </c>
      <c r="C6" s="24" t="n">
        <v>3</v>
      </c>
      <c r="D6" s="6" t="n">
        <v>90</v>
      </c>
      <c r="E6" s="23">
        <f>D6*$M$2</f>
        <v/>
      </c>
      <c r="F6" s="24">
        <f>3600/E6</f>
        <v/>
      </c>
      <c r="G6" s="23">
        <f>$M$3</f>
        <v/>
      </c>
      <c r="H6" s="24">
        <f>3600/G6</f>
        <v/>
      </c>
      <c r="I6" s="7">
        <f>IF(F6=0,"solo en alarma",H6/F6)</f>
        <v/>
      </c>
      <c r="J6" s="8" t="inlineStr">
        <is>
          <t>BURST=90</t>
        </is>
      </c>
    </row>
    <row r="7">
      <c r="A7" s="5" t="inlineStr">
        <is>
          <t>CM1106 CO2  (lectura completa)</t>
        </is>
      </c>
      <c r="B7" s="23" t="n">
        <v>30</v>
      </c>
      <c r="C7" s="24" t="n">
        <v>2</v>
      </c>
      <c r="D7" s="6" t="n">
        <v>90</v>
      </c>
      <c r="E7" s="23">
        <f>D7*$M$2</f>
        <v/>
      </c>
      <c r="F7" s="24">
        <f>3600/E7</f>
        <v/>
      </c>
      <c r="G7" s="23">
        <f>$M$3</f>
        <v/>
      </c>
      <c r="H7" s="24">
        <f>3600/G7</f>
        <v/>
      </c>
      <c r="I7" s="7">
        <f>IF(F7=0,"solo en alarma",H7/F7)</f>
        <v/>
      </c>
      <c r="J7" s="8" t="inlineStr">
        <is>
          <t>BURST=90</t>
        </is>
      </c>
    </row>
    <row r="8">
      <c r="A8" s="5" t="inlineStr">
        <is>
          <t>BMV080 humo  (lectura completa)</t>
        </is>
      </c>
      <c r="B8" s="23" t="n">
        <v>30</v>
      </c>
      <c r="C8" s="24" t="n">
        <v>2</v>
      </c>
      <c r="D8" s="6" t="n">
        <v>90</v>
      </c>
      <c r="E8" s="23">
        <f>D8*$M$2</f>
        <v/>
      </c>
      <c r="F8" s="24">
        <f>3600/E8</f>
        <v/>
      </c>
      <c r="G8" s="23">
        <f>$M$3</f>
        <v/>
      </c>
      <c r="H8" s="24">
        <f>3600/G8</f>
        <v/>
      </c>
      <c r="I8" s="7">
        <f>IF(F8=0,"solo en alarma",H8/F8)</f>
        <v/>
      </c>
      <c r="J8" s="8" t="inlineStr">
        <is>
          <t>BURST=90</t>
        </is>
      </c>
    </row>
    <row r="9">
      <c r="A9" s="5" t="inlineStr">
        <is>
          <t>Calypso viento  (lectura completa)</t>
        </is>
      </c>
      <c r="B9" s="23" t="n">
        <v>5</v>
      </c>
      <c r="C9" s="9" t="n"/>
      <c r="D9" s="6" t="n">
        <v>90</v>
      </c>
      <c r="E9" s="23">
        <f>D9*$M$2</f>
        <v/>
      </c>
      <c r="F9" s="24">
        <f>3600/E9</f>
        <v/>
      </c>
      <c r="G9" s="23">
        <f>$M$3</f>
        <v/>
      </c>
      <c r="H9" s="24">
        <f>3600/G9</f>
        <v/>
      </c>
      <c r="I9" s="7">
        <f>IF(F9=0,"solo en alarma",H9/F9)</f>
        <v/>
      </c>
      <c r="J9" s="8" t="inlineStr">
        <is>
          <t>BURST=90. El sensor NO esta conectado en C3: el slot se ejecuta y agota su ventana, pero no mide nada (rx=0).</t>
        </is>
      </c>
    </row>
    <row r="10">
      <c r="A10" s="5" t="inlineStr">
        <is>
          <t>SEN0466 CO  (centinela, 24/7)</t>
        </is>
      </c>
      <c r="B10" s="23" t="n">
        <v>30</v>
      </c>
      <c r="C10" s="24" t="n">
        <v>2</v>
      </c>
      <c r="D10" s="6" t="n">
        <v>3</v>
      </c>
      <c r="E10" s="23">
        <f>D10*$M$2</f>
        <v/>
      </c>
      <c r="F10" s="24">
        <f>3600/E10</f>
        <v/>
      </c>
      <c r="G10" s="23">
        <f>$M$3</f>
        <v/>
      </c>
      <c r="H10" s="24">
        <f>3600/G10</f>
        <v/>
      </c>
      <c r="I10" s="7">
        <f>IF(F10=0,"solo en alarma",H10/F10)</f>
        <v/>
      </c>
      <c r="J10" s="8" t="inlineStr">
        <is>
          <t>VA CABLEADO DIRECTO A CORRIENTE, saltandose el transistor del rail de 5V, asi que nunca pierde alimentacion. Sus 210 s de estabilizacion se pagan UNA VEZ al energizar la placa y a partir de ahi esta siempre caliente. Por eso se lee en el centinela junto al BME690, cada 3 ticks, que es lo que pide el documento de estrategia. Hasta el 2026-10-08 el firmware lo excluia del ciclo, suponiendo que compartia el rail conmutado.</t>
        </is>
      </c>
    </row>
    <row r="11">
      <c r="A11" s="5" t="inlineStr">
        <is>
          <t>TX LoRa  C -&gt; B</t>
        </is>
      </c>
      <c r="B11" s="9" t="n"/>
      <c r="C11" s="9" t="n"/>
      <c r="D11" s="6" t="n">
        <v>4</v>
      </c>
      <c r="E11" s="23">
        <f>D11*$M$2</f>
        <v/>
      </c>
      <c r="F11" s="24">
        <f>3600/E11</f>
        <v/>
      </c>
      <c r="G11" s="23">
        <f>$M$3</f>
        <v/>
      </c>
      <c r="H11" s="24">
        <f>3600/G11</f>
        <v/>
      </c>
      <c r="I11" s="7">
        <f>IF(F11=0,"solo en alarma",H11/F11)</f>
        <v/>
      </c>
      <c r="J11" s="8" t="inlineStr">
        <is>
          <t>LORA_TRANS=4</t>
        </is>
      </c>
    </row>
    <row r="13">
      <c r="A13" s="17" t="inlineStr">
        <is>
          <t>Envio B -&gt; Modulo A</t>
        </is>
      </c>
      <c r="B13" s="25" t="n">
        <v>30</v>
      </c>
      <c r="C13" s="26" t="n">
        <v>2</v>
      </c>
      <c r="D13" s="18" t="n"/>
      <c r="E13" s="27" t="n">
        <v>65.40000000000001</v>
      </c>
      <c r="F13" s="26">
        <f>3600/E13</f>
        <v/>
      </c>
      <c r="G13" s="18" t="n"/>
      <c r="H13" s="18" t="n"/>
      <c r="I13" s="18" t="n"/>
      <c r="J13" s="21" t="inlineStr">
        <is>
          <t>138 intervalos reales. mediana 65.4 s / media 61.7 / p25 41.6 / p75 71.6 / max 125. La hoja original indica 30 min.</t>
        </is>
      </c>
    </row>
    <row r="15">
      <c r="A15" s="28" t="inlineStr">
        <is>
          <t>COMO SE LEE UNA FILA</t>
        </is>
      </c>
    </row>
    <row r="16" ht="32" customHeight="1">
      <c r="A16" s="29" t="inlineStr">
        <is>
          <t>Columnas B y C</t>
        </is>
      </c>
      <c r="B16" s="30" t="inlineStr">
        <is>
          <t>Lo que decia la hoja original. Estan solo para comparar; no son medidas.</t>
        </is>
      </c>
    </row>
    <row r="17" ht="32" customHeight="1">
      <c r="A17" s="29" t="inlineStr">
        <is>
          <t>Ticks (columna D)</t>
        </is>
      </c>
      <c r="B17" s="30" t="inlineStr">
        <is>
          <t>Cuantos despertares del aparato pasan entre una lectura de ese sensor y la siguiente. 3 = centinela (lo barato, cada rato); 90 = burst o lectura completa (todo, de tanto en tanto); 'excluido' = no se lee.</t>
        </is>
      </c>
    </row>
    <row r="18" ht="32" customHeight="1">
      <c r="A18" s="29" t="inlineStr">
        <is>
          <t>Periodo NORMAL (E)</t>
        </is>
      </c>
      <c r="B18" s="30" t="inlineStr">
        <is>
          <t>Es Ticks x 17.8 s. El 17.8 es lo que dura un despertar DE VERDAD, medido; en el programa pone 10 s. Esta en la celda M2.</t>
        </is>
      </c>
    </row>
    <row r="19" ht="32" customHeight="1">
      <c r="A19" s="29" t="inlineStr">
        <is>
          <t>Mediciones/h NORMAL (F)</t>
        </is>
      </c>
      <c r="B19" s="30" t="inlineStr">
        <is>
          <t>Son 3600 segundos de una hora, divididos entre el periodo.</t>
        </is>
      </c>
    </row>
    <row r="20" ht="32" customHeight="1">
      <c r="A20" s="29" t="inlineStr">
        <is>
          <t>Periodo ALARMA (G)</t>
        </is>
      </c>
      <c r="B20" s="30" t="inlineStr">
        <is>
          <t>24.9 s para todos. En alarma el aparato no duerme y repite la lectura completa sin parar, asi que ya no depende de los despertares. M3.</t>
        </is>
      </c>
    </row>
    <row r="21" ht="32" customHeight="1">
      <c r="A21" s="29" t="inlineStr">
        <is>
          <t>Factor (columna I)</t>
        </is>
      </c>
      <c r="B21" s="30" t="inlineStr">
        <is>
          <t>Cuantas veces mas a menudo se mide en alarma que en normal.</t>
        </is>
      </c>
    </row>
    <row r="23" ht="32" customHeight="1">
      <c r="A23" s="31" t="inlineStr">
        <is>
          <t>EJEMPLO: la fila del CO2</t>
        </is>
      </c>
      <c r="B23" s="32" t="inlineStr">
        <is>
          <t>Pone ticks = 90. Entonces: 90 despertares x 17.8 s = 1602 s, que son 26.7 minutos entre una medida de CO2 y la siguiente. Y 3600 / 1602 = 2.25 medidas por hora. En alarma pasa a 24.9 s, o sea 144.6 medidas por hora: 64 veces mas a menudo.</t>
        </is>
      </c>
    </row>
  </sheetData>
  <mergeCells count="7">
    <mergeCell ref="B18:I18"/>
    <mergeCell ref="B21:I21"/>
    <mergeCell ref="B16:I16"/>
    <mergeCell ref="B20:I20"/>
    <mergeCell ref="B19:I19"/>
    <mergeCell ref="B23:I23"/>
    <mergeCell ref="B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10" customWidth="1" min="2" max="2"/>
  </cols>
  <sheetData>
    <row r="1">
      <c r="A1" s="1" t="inlineStr">
        <is>
          <t>Como se obtuvo cada numero</t>
        </is>
      </c>
    </row>
    <row r="3" ht="48" customHeight="1">
      <c r="A3" s="29" t="inlineStr">
        <is>
          <t>Placa</t>
        </is>
      </c>
      <c r="B3" s="30" t="inlineStr">
        <is>
          <t>Modulo C nodo 3 (C3), MAC 28:84:85:6F:82:88. Fecha 2026-10-06.</t>
        </is>
      </c>
    </row>
    <row r="4" ht="48" customHeight="1">
      <c r="A4" s="29" t="inlineStr">
        <is>
          <t>t activo por sensor</t>
        </is>
      </c>
      <c r="B4" s="30" t="inlineStr">
        <is>
          <t>Instrumentacion anadida al firmware: millis() alrededor de cada runSlot(), con una linea [t] por slot. Entorno medir-tiempos (SLEEP_ENABLED=0) para que cada pasada sea un burst completo y el puerto serie no desaparezca. 9 bursts; se toma la mediana.</t>
        </is>
      </c>
    </row>
    <row r="5" ht="48" customHeight="1">
      <c r="A5" s="29" t="inlineStr">
        <is>
          <t>Tick real</t>
        </is>
      </c>
      <c r="B5" s="30" t="inlineStr">
        <is>
          <t>Intervalos entre tramas STAT consecutivas de C3 en el log de Modulo B, divididos por el numero de despertares que declara el propio STAT. 37 intervalos en dos capturas independientes: 17.8 s y 18.1 s.</t>
        </is>
      </c>
    </row>
    <row r="6" ht="48" customHeight="1">
      <c r="A6" s="29" t="inlineStr">
        <is>
          <t>Periodos normales</t>
        </is>
      </c>
      <c r="B6" s="30" t="inlineStr">
        <is>
          <t>Numero de ticks de cada contador (SENSOR_READ=3, BURST=90, LORA_TRANS=4) multiplicado por el tick real. NO por los 10 s nominales.</t>
        </is>
      </c>
    </row>
    <row r="7" ht="48" customHeight="1">
      <c r="A7" s="29" t="inlineStr">
        <is>
          <t>Modo alarma</t>
        </is>
      </c>
      <c r="B7" s="30" t="inlineStr">
        <is>
          <t>Entorno medir-alarma (FORCE_ALARM_STATE=2). El nodo no duerme y repite el burst completo. Periodo medido entre bursts consecutivos: 24.9 s (11 bursts, 2026-10-07, con TX_KEEP_5V_RAIL).</t>
        </is>
      </c>
    </row>
    <row r="8" ht="48" customHeight="1">
      <c r="A8" s="29" t="inlineStr">
        <is>
          <t>Envio B -&gt; Modulo A</t>
        </is>
      </c>
      <c r="B8" s="30" t="inlineStr">
        <is>
          <t>Intervalos entre publicaciones AT+QMTPUB a v1/gateway/telemetry en 9 capturas de Modulo B del 5 y 6 de octubre. Se descartan los huecos &lt;5 s (publicaciones consecutivas del mismo evento) y &gt;600 s (reconexiones). n=138.</t>
        </is>
      </c>
    </row>
    <row r="9" ht="48" customHeight="1">
      <c r="A9" s="29" t="inlineStr">
        <is>
          <t>Lo que NO se ha medido aqui</t>
        </is>
      </c>
      <c r="B9" s="30" t="inlineStr">
        <is>
          <t>Las corrientes. Requieren el PPK2 en el banco. Las medidas de corriente existentes estan en test_consumos/mediciones.csv, y dos contradicen la hoja: el SEN0466 consume 14.5 mA y no 5, y no tiene modo reposo (~15 mA siempre que este alimentado, no 0 uA).</t>
        </is>
      </c>
    </row>
    <row r="10" ht="48" customHeight="1">
      <c r="A10" s="29" t="inlineStr">
        <is>
          <t>Avisos</t>
        </is>
      </c>
      <c r="B10" s="30" t="inlineStr">
        <is>
          <t>La hoja no incluye el ESP32-S3 (35 mA despierto, 0.026 mA dormido) ni la radio RYLR998 (50 mA en RX, 151 mA de pico en TX). A 45% de duty solo el ESP son ~15 mA de media, frente a ~1.4 mA de todos los sensores juntos.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2026-10-08T09:08:57Z</dcterms:created>
  <dcterms:modified xsi:type="dcterms:W3CDTF">2026-10-08T09:08:57Z</dcterms:modified>
</cp:coreProperties>
</file>