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Glosario" sheetId="2" state="visible" r:id="rId2"/>
    <sheet name="Tiempos por sensor" sheetId="3" state="visible" r:id="rId3"/>
    <sheet name="Periodos y mediciones" sheetId="4" state="visible" r:id="rId4"/>
    <sheet name="Metodo" sheetId="5" state="visible" r:id="rId5"/>
  </sheets>
  <definedNames/>
  <calcPr calcId="124519" fullCalcOnLoad="1"/>
</workbook>
</file>

<file path=xl/styles.xml><?xml version="1.0" encoding="utf-8"?>
<styleSheet xmlns="http://schemas.openxmlformats.org/spreadsheetml/2006/main">
  <numFmts count="4">
    <numFmt numFmtId="164" formatCode="0.0x"/>
    <numFmt numFmtId="165" formatCode="0.000"/>
    <numFmt numFmtId="166" formatCode="0.00x"/>
    <numFmt numFmtId="167" formatCode="0.0"/>
  </numFmts>
  <fonts count="8">
    <font>
      <name val="Calibri"/>
      <family val="2"/>
      <color theme="1"/>
      <sz val="11"/>
      <scheme val="minor"/>
    </font>
    <font>
      <name val="Arial"/>
      <b val="1"/>
      <sz val="12"/>
    </font>
    <font>
      <name val="Arial"/>
      <i val="1"/>
      <color rgb="00555555"/>
      <sz val="9"/>
    </font>
    <font>
      <name val="Arial"/>
      <b val="1"/>
      <sz val="10"/>
    </font>
    <font>
      <name val="Arial"/>
      <b val="1"/>
      <color rgb="00FFFFFF"/>
      <sz val="10"/>
    </font>
    <font>
      <name val="Arial"/>
      <sz val="10"/>
    </font>
    <font>
      <name val="Arial"/>
      <color rgb="000000FF"/>
      <sz val="10"/>
    </font>
    <font>
      <name val="Arial"/>
      <b val="1"/>
      <color rgb="00C00000"/>
      <sz val="10"/>
    </font>
  </fonts>
  <fills count="6">
    <fill>
      <patternFill/>
    </fill>
    <fill>
      <patternFill patternType="gray125"/>
    </fill>
    <fill>
      <patternFill patternType="solid">
        <fgColor rgb="001F4E79"/>
      </patternFill>
    </fill>
    <fill>
      <patternFill patternType="solid">
        <fgColor rgb="00FCE4E4"/>
      </patternFill>
    </fill>
    <fill>
      <patternFill patternType="solid">
        <fgColor rgb="00D9E1F2"/>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4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vertical="top" wrapText="1"/>
    </xf>
    <xf numFmtId="0" fontId="6" fillId="0" borderId="1" applyAlignment="1" pivotButton="0" quotePrefix="0" xfId="0">
      <alignment vertical="top" wrapText="1"/>
    </xf>
    <xf numFmtId="164" fontId="5" fillId="0"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9" fontId="6" fillId="0" borderId="1" applyAlignment="1" pivotButton="0" quotePrefix="0" xfId="0">
      <alignment vertical="top" wrapText="1"/>
    </xf>
    <xf numFmtId="164" fontId="5" fillId="3" borderId="1" applyAlignment="1" pivotButton="0" quotePrefix="0" xfId="0">
      <alignment vertical="top" wrapText="1"/>
    </xf>
    <xf numFmtId="0" fontId="7" fillId="0" borderId="0" pivotButton="0" quotePrefix="0" xfId="0"/>
    <xf numFmtId="165" fontId="5" fillId="0" borderId="1" applyAlignment="1" pivotButton="0" quotePrefix="0" xfId="0">
      <alignment vertical="top" wrapText="1"/>
    </xf>
    <xf numFmtId="165" fontId="6" fillId="0" borderId="1" applyAlignment="1" pivotButton="0" quotePrefix="0" xfId="0">
      <alignment vertical="top" wrapText="1"/>
    </xf>
    <xf numFmtId="166" fontId="5" fillId="0" borderId="1" applyAlignment="1" pivotButton="0" quotePrefix="0" xfId="0">
      <alignment vertical="top" wrapText="1"/>
    </xf>
    <xf numFmtId="9" fontId="5" fillId="0" borderId="1" applyAlignment="1" pivotButton="0" quotePrefix="0" xfId="0">
      <alignment vertical="top" wrapText="1"/>
    </xf>
    <xf numFmtId="0" fontId="3" fillId="4" borderId="1" applyAlignment="1" pivotButton="0" quotePrefix="0" xfId="0">
      <alignment vertical="top" wrapText="1"/>
    </xf>
    <xf numFmtId="0" fontId="0" fillId="4" borderId="1" applyAlignment="1" pivotButton="0" quotePrefix="0" xfId="0">
      <alignment vertical="top" wrapText="1"/>
    </xf>
    <xf numFmtId="165" fontId="5" fillId="4" borderId="1" applyAlignment="1" pivotButton="0" quotePrefix="0" xfId="0">
      <alignment vertical="top" wrapText="1"/>
    </xf>
    <xf numFmtId="9" fontId="5" fillId="4" borderId="1" applyAlignment="1" pivotButton="0" quotePrefix="0" xfId="0">
      <alignment vertical="top" wrapText="1"/>
    </xf>
    <xf numFmtId="0" fontId="2" fillId="4" borderId="1" applyAlignment="1" pivotButton="0" quotePrefix="0" xfId="0">
      <alignment vertical="top" wrapText="1"/>
    </xf>
    <xf numFmtId="0" fontId="5" fillId="0" borderId="0" pivotButton="0" quotePrefix="0" xfId="0"/>
    <xf numFmtId="0" fontId="6" fillId="5" borderId="0" pivotButton="0" quotePrefix="0" xfId="0"/>
    <xf numFmtId="167" fontId="5" fillId="0" borderId="1" applyAlignment="1" pivotButton="0" quotePrefix="0" xfId="0">
      <alignment vertical="top" wrapText="1"/>
    </xf>
    <xf numFmtId="2" fontId="5" fillId="0" borderId="1" applyAlignment="1" pivotButton="0" quotePrefix="0" xfId="0">
      <alignment vertical="top" wrapText="1"/>
    </xf>
    <xf numFmtId="0" fontId="5" fillId="3" borderId="1" applyAlignment="1" pivotButton="0" quotePrefix="0" xfId="0">
      <alignment vertical="top" wrapText="1"/>
    </xf>
    <xf numFmtId="2" fontId="6" fillId="3" borderId="1" applyAlignment="1" pivotButton="0" quotePrefix="0" xfId="0">
      <alignment vertical="top" wrapText="1"/>
    </xf>
    <xf numFmtId="167" fontId="5" fillId="4" borderId="1" applyAlignment="1" pivotButton="0" quotePrefix="0" xfId="0">
      <alignment vertical="top" wrapText="1"/>
    </xf>
    <xf numFmtId="2" fontId="5" fillId="4" borderId="1" applyAlignment="1" pivotButton="0" quotePrefix="0" xfId="0">
      <alignment vertical="top" wrapText="1"/>
    </xf>
    <xf numFmtId="167" fontId="6" fillId="4" borderId="1"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4" fillId="2" borderId="1" pivotButton="0" quotePrefix="0" xfId="0"/>
    <xf numFmtId="0" fontId="0" fillId="2" borderId="1" pivotButton="0" quotePrefix="0" xfId="0"/>
    <xf numFmtId="0" fontId="3" fillId="0" borderId="1" applyAlignment="1" pivotButton="0" quotePrefix="0" xfId="0">
      <alignment vertical="top" wrapText="1"/>
    </xf>
    <xf numFmtId="0" fontId="3" fillId="5" borderId="1" applyAlignment="1" pivotButton="0" quotePrefix="0" xfId="0">
      <alignment vertical="top" wrapText="1"/>
    </xf>
    <xf numFmtId="165" fontId="5" fillId="0" borderId="1" applyAlignment="1" pivotButton="0" quotePrefix="0" xfId="0">
      <alignment vertical="top" wrapText="1"/>
    </xf>
    <xf numFmtId="165" fontId="6" fillId="0" borderId="1" applyAlignment="1" pivotButton="0" quotePrefix="0" xfId="0">
      <alignment vertical="top" wrapText="1"/>
    </xf>
    <xf numFmtId="166" fontId="5" fillId="0" borderId="1" applyAlignment="1" pivotButton="0" quotePrefix="0" xfId="0">
      <alignment vertical="top" wrapText="1"/>
    </xf>
    <xf numFmtId="165" fontId="5"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8" customWidth="1" min="1" max="1"/>
    <col width="14" customWidth="1" min="2" max="2"/>
    <col width="14" customWidth="1" min="3" max="3"/>
    <col width="10" customWidth="1" min="4" max="4"/>
    <col width="12" customWidth="1" min="5" max="5"/>
    <col width="58" customWidth="1" min="6" max="6"/>
  </cols>
  <sheetData>
    <row r="1">
      <c r="A1" s="1" t="inlineStr">
        <is>
          <t>Modulo C - tiempos reales medidos sobre el nodo C3</t>
        </is>
      </c>
    </row>
    <row r="2">
      <c r="A2" s="2" t="inlineStr">
        <is>
          <t>Medido el 2026-10-06 sobre la placa C3 (MAC 28:84:85:6F:82:88). Azul = valor medido. Negro = calculado por formula.</t>
        </is>
      </c>
    </row>
    <row r="3">
      <c r="A3" s="3" t="inlineStr">
        <is>
          <t>El dato que mas cambia el modelo: el tick real son 17.8 s, no los 10 s nominales.</t>
        </is>
      </c>
    </row>
    <row r="5" ht="30" customHeight="1">
      <c r="A5" s="4" t="inlineStr">
        <is>
          <t>Magnitud</t>
        </is>
      </c>
      <c r="B5" s="4" t="inlineStr">
        <is>
          <t>Hoja original</t>
        </is>
      </c>
      <c r="C5" s="4" t="inlineStr">
        <is>
          <t>MEDIDO</t>
        </is>
      </c>
      <c r="D5" s="4" t="inlineStr">
        <is>
          <t>Unidad</t>
        </is>
      </c>
      <c r="E5" s="4" t="inlineStr">
        <is>
          <t>Medido / Hoja</t>
        </is>
      </c>
      <c r="F5" s="4" t="inlineStr">
        <is>
          <t>Como se midio</t>
        </is>
      </c>
    </row>
    <row r="6">
      <c r="A6" s="5" t="inlineStr">
        <is>
          <t>Tick del planificador</t>
        </is>
      </c>
      <c r="B6" s="5" t="n">
        <v>10</v>
      </c>
      <c r="C6" s="6" t="n">
        <v>17.8</v>
      </c>
      <c r="D6" s="5" t="inlineStr">
        <is>
          <t>s</t>
        </is>
      </c>
      <c r="E6" s="7">
        <f>C6/B6</f>
        <v/>
      </c>
      <c r="F6" s="8" t="inlineStr">
        <is>
          <t>37 intervalos STAT-a-STAT en dos capturas independientes de Modulo B</t>
        </is>
      </c>
    </row>
    <row r="7">
      <c r="A7" s="5" t="inlineStr">
        <is>
          <t>Duty despierto del nodo (normal)</t>
        </is>
      </c>
      <c r="B7" s="9" t="n"/>
      <c r="C7" s="10" t="n">
        <v>0.45</v>
      </c>
      <c r="D7" s="5" t="inlineStr">
        <is>
          <t>%</t>
        </is>
      </c>
      <c r="E7" s="9" t="n"/>
      <c r="F7" s="8" t="inlineStr">
        <is>
          <t>17.8 s de tick menos 10 s de deep sleep = 7.8-8.1 s despierto</t>
        </is>
      </c>
    </row>
    <row r="8">
      <c r="A8" s="5" t="inlineStr">
        <is>
          <t>Burst completo (5 sensores)</t>
        </is>
      </c>
      <c r="B8" s="9" t="n"/>
      <c r="C8" s="6" t="n">
        <v>18.57</v>
      </c>
      <c r="D8" s="5" t="inlineStr">
        <is>
          <t>s</t>
        </is>
      </c>
      <c r="E8" s="9" t="n"/>
      <c r="F8" s="8" t="inlineStr">
        <is>
          <t>11 bursts con el Calypso leyendo y el rail de 5V mantenido (2026-10-07). Bajo desde 19.29 s: el Calypso deja de agotar su ventana y el CM1106 recupera un segundo. Identico en pre-alarma y en alarma: comparten rama de codigo</t>
        </is>
      </c>
    </row>
    <row r="9">
      <c r="A9" s="5" t="inlineStr">
        <is>
          <t>Envio B -&gt; Modulo A</t>
        </is>
      </c>
      <c r="B9" s="5" t="n">
        <v>1800</v>
      </c>
      <c r="C9" s="6" t="n">
        <v>65.40000000000001</v>
      </c>
      <c r="D9" s="5" t="inlineStr">
        <is>
          <t>s</t>
        </is>
      </c>
      <c r="E9" s="11">
        <f>C9/B9</f>
        <v/>
      </c>
      <c r="F9" s="8" t="inlineStr">
        <is>
          <t>138 intervalos reales de publicacion a ThingsBoard, mediana</t>
        </is>
      </c>
    </row>
    <row r="11">
      <c r="A11" s="12" t="inlineStr">
        <is>
          <t>El envio a Modulo A es el error mas grave de la hoja: asume 30 min y son ~65 s. Como la radio es la carga mayor, invalida los totales por hora.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6" customWidth="1" min="1" max="1"/>
    <col width="100" customWidth="1" min="2" max="2"/>
  </cols>
  <sheetData>
    <row r="1">
      <c r="A1" s="1" t="inlineStr">
        <is>
          <t>Que es un TICK, y por que casi todo son 90</t>
        </is>
      </c>
    </row>
    <row r="3">
      <c r="A3" s="33" t="inlineStr">
        <is>
          <t>EL TICK</t>
        </is>
      </c>
      <c r="B3" s="34" t="inlineStr"/>
    </row>
    <row r="4" ht="39" customHeight="1">
      <c r="A4" s="35" t="inlineStr">
        <is>
          <t>Que es</t>
        </is>
      </c>
      <c r="B4" s="5" t="inlineStr">
        <is>
          <t>La unidad del planificador del nodo. El Modulo C no corre en continuo: duerme en deep sleep, despierta, mira QUE toca hacer en ese despertar, lo hace, y vuelve a dormir. Cada despertar es UN TICK.</t>
        </is>
      </c>
    </row>
    <row r="5" ht="39" customHeight="1">
      <c r="A5" s="35" t="inlineStr">
        <is>
          <t>Por que en ticks y no en minutos</t>
        </is>
      </c>
      <c r="B5" s="5" t="inlineStr">
        <is>
          <t>Porque el nodo no tiene reloj fiable al otro lado del sueno. Lo unico que sobrevive al deep sleep son unos contadores en memoria RTC. Asi que el firmware no dice 'lee cada 15 minutos', dice 'lee cada 90 despertares'. Los contadores SON el reloj.</t>
        </is>
      </c>
    </row>
    <row r="6" ht="30" customHeight="1">
      <c r="A6" s="35" t="inlineStr">
        <is>
          <t>Tick nominal</t>
        </is>
      </c>
      <c r="B6" s="5" t="inlineStr">
        <is>
          <t>10 s. Es SLEEP_CYCLE_SECONDS: lo que el nodo programa dormir.</t>
        </is>
      </c>
    </row>
    <row r="7" ht="39" customHeight="1">
      <c r="A7" s="35" t="inlineStr">
        <is>
          <t>Tick REAL (medido)</t>
        </is>
      </c>
      <c r="B7" s="5" t="inlineStr">
        <is>
          <t>17.8 s. El nodo duerme 10 s, pero ademas esta despierto ~8 s haciendo el trabajo del tick. 10 + 7.8 = 17.8 s de reloj de pared por tick. ESTE es el numero que hay que usar para pasar de ticks a minutos; usar 10 s subestima todos los periodos en un 78%.</t>
        </is>
      </c>
    </row>
    <row r="8" ht="30" customHeight="1">
      <c r="A8" s="35" t="inlineStr">
        <is>
          <t>Consecuencia</t>
        </is>
      </c>
      <c r="B8" s="5" t="inlineStr">
        <is>
          <t>El nodo esta despierto el ~45% del tiempo. El deep sleep aporta mucho menos de lo que parece, porque el trabajo de cada tick dura casi tanto como el sueno.</t>
        </is>
      </c>
    </row>
    <row r="10">
      <c r="A10" s="33" t="inlineStr">
        <is>
          <t>LOS TRES CONTADORES</t>
        </is>
      </c>
      <c r="B10" s="34" t="inlineStr"/>
    </row>
    <row r="11" ht="30" customHeight="1">
      <c r="A11" s="35" t="inlineStr">
        <is>
          <t>SENSOR_READ = 3</t>
        </is>
      </c>
      <c r="B11" s="5" t="inlineStr">
        <is>
          <t>Cada 3 ticks (53 s reales) se leen solo los sensores BARATOS: BME690 temperatura, humedad y presion. Son los 'centinelas': vigilan en continuo por si algo empieza.</t>
        </is>
      </c>
    </row>
    <row r="12" ht="30" customHeight="1">
      <c r="A12" s="35" t="inlineStr">
        <is>
          <t>BURST = 90</t>
        </is>
      </c>
      <c r="B12" s="5" t="inlineStr">
        <is>
          <t>Cada 90 ticks (26.7 min reales) se lee TODO, incluidos los caros. De ahi que casi toda la columna 'Ticks' ponga 90 - ver abajo el porque.</t>
        </is>
      </c>
    </row>
    <row r="13" ht="39" customHeight="1">
      <c r="A13" s="35" t="inlineStr">
        <is>
          <t>LORA_TRANS = 4</t>
        </is>
      </c>
      <c r="B13" s="5" t="inlineStr">
        <is>
          <t>Cada 4 ticks (71 s reales) el nodo transmite a Modulo B lo que tenga acumulado. No transmite cada lectura: agrupa. Con SENSOR_READ=3 y LORA_TRANS=4 salen 2 lecturas por paquete, que es lo que se ve en el log como 'batch of 2 readings'.</t>
        </is>
      </c>
    </row>
    <row r="14" ht="39" customHeight="1">
      <c r="A14" s="35" t="inlineStr">
        <is>
          <t>Se pueden cambiar en caliente</t>
        </is>
      </c>
      <c r="B14" s="5" t="inlineStr">
        <is>
          <t>Los tres viven en memoria RTC y Modulo A los puede cambiar por comando (CFG,SENSOR_READ / CFG,BURST / CFG,INTERVAL) sin reprogramar la placa. El equilibrio entre latencia de deteccion y bateria se ajusta en campo.</t>
        </is>
      </c>
    </row>
    <row r="16">
      <c r="A16" s="33" t="inlineStr">
        <is>
          <t>POR QUE 90 TICKS</t>
        </is>
      </c>
      <c r="B16" s="34" t="inlineStr"/>
    </row>
    <row r="17" ht="52" customHeight="1">
      <c r="A17" s="35" t="inlineStr">
        <is>
          <t>Razon 1 - energia</t>
        </is>
      </c>
      <c r="B17" s="5" t="inlineStr">
        <is>
          <t>Los sensores del burst son los caros: el BMV080 enciende un laser de 68 mA, el BME690 calienta a 320 C, el CM1106 hay que apagarlo y encenderlo entero para que mida. El burst completo tiene al nodo despierto 19.3 s. Hacerlo cada 3 ticks en vez de cada 90 multiplicaria por 30 ese gasto.</t>
        </is>
      </c>
    </row>
    <row r="18" ht="39" customHeight="1">
      <c r="A18" s="35" t="inlineStr">
        <is>
          <t>Razon 2 - fisica del fenomeno</t>
        </is>
      </c>
      <c r="B18" s="5" t="inlineStr">
        <is>
          <t>Las particulas y el CO2 cambian a la escala de un incendio que se propaga, no a la de segundos. Medirlos cada 30 s no detecta nada antes: solo gasta bateria. La temperatura y la humedad SI pueden cambiar rapido, y por eso esas van cada 3 ticks.</t>
        </is>
      </c>
    </row>
    <row r="19" ht="39" customHeight="1">
      <c r="A19" s="35" t="inlineStr">
        <is>
          <t>La idea de fondo</t>
        </is>
      </c>
      <c r="B19" s="5" t="inlineStr">
        <is>
          <t>Vigilancia barata en continuo (centinelas cada 53 s) + confirmacion cara de vez en cuando (burst cada 26.7 min). Y si los centinelas detectan algo, el nodo pasa a alarma y entonces hace el burst completo cada 25.5 s: 63 veces mas a menudo.</t>
        </is>
      </c>
    </row>
    <row r="21">
      <c r="A21" s="33" t="inlineStr">
        <is>
          <t>LAS COLUMNAS</t>
        </is>
      </c>
      <c r="B21" s="34" t="inlineStr"/>
    </row>
    <row r="22" ht="30" customHeight="1">
      <c r="A22" s="35" t="inlineStr">
        <is>
          <t>Ticks</t>
        </is>
      </c>
      <c r="B22" s="5" t="inlineStr">
        <is>
          <t>Cuantos despertares pasan entre una lectura de ese sensor y la siguiente. 3 = centinela, 90 = burst, 'excluido' = no se lee nunca.</t>
        </is>
      </c>
    </row>
    <row r="23" ht="30" customHeight="1">
      <c r="A23" s="35" t="inlineStr">
        <is>
          <t>Periodo NORMAL (s)</t>
        </is>
      </c>
      <c r="B23" s="5">
        <f> Ticks x 17.8 s. El tiempo real entre dos lecturas de ese sensor.</f>
        <v/>
      </c>
    </row>
    <row r="24" ht="30" customHeight="1">
      <c r="A24" s="35" t="inlineStr">
        <is>
          <t>Mediciones/h NORMAL</t>
        </is>
      </c>
      <c r="B24" s="5">
        <f> 3600 / Periodo. Cuantas veces por hora se mide esa magnitud.</f>
        <v/>
      </c>
    </row>
    <row r="25" ht="30" customHeight="1">
      <c r="A25" s="35" t="inlineStr">
        <is>
          <t>Periodo ALARMA (s)</t>
        </is>
      </c>
      <c r="B25" s="5" t="inlineStr">
        <is>
          <t>25.5 s para todos. En alarma el nodo NO duerme: repite el burst completo sin parar, asi que el periodo ya no depende de ticks sino de lo que tarda el propio burst.</t>
        </is>
      </c>
    </row>
    <row r="26" ht="30" customHeight="1">
      <c r="A26" s="35" t="inlineStr">
        <is>
          <t>t activo MEDIDO (s)</t>
        </is>
      </c>
      <c r="B26" s="5" t="inlineStr">
        <is>
          <t>Lo que ese sensor tiene ocupado al microcontrolador en cada lectura. Medido con millis() alrededor de su slot.</t>
        </is>
      </c>
    </row>
    <row r="27" ht="52" customHeight="1">
      <c r="A27" s="35" t="inlineStr">
        <is>
          <t>Recuperacion / hueco (s)</t>
        </is>
      </c>
      <c r="B27" s="5" t="inlineStr">
        <is>
          <t>Tiempo de espera OBLIGATORIO despues del sensor, antes de arrancar el siguiente. Normalmente 1.5 s para que una carga deje de consumir antes de que empiece la siguiente. Tras el BME690 son 6.1 s porque hace falta un ciclo completo de alimentacion para que el BMV080 pueda arrancar despues del calentador.</t>
        </is>
      </c>
    </row>
    <row r="28" ht="30" customHeight="1">
      <c r="A28" s="35" t="inlineStr">
        <is>
          <t>Slot total (s)</t>
        </is>
      </c>
      <c r="B28" s="5" t="inlineStr">
        <is>
          <t>activo + recuperacion. Es el coste REAL en tiempo despierto, que es lo que consume bateria: el ESP32 esta tirando sus ~35 mA durante todo el slot, mida o espere.</t>
        </is>
      </c>
    </row>
    <row r="30">
      <c r="A30" s="1" t="inlineStr">
        <is>
          <t>En una linea</t>
        </is>
      </c>
    </row>
    <row r="31" ht="46" customHeight="1">
      <c r="B31" s="36" t="inlineStr">
        <is>
          <t>Un tick son 17.8 s reales. Los sensores caros van cada 90 ticks (26.7 min) porque gastan mucho y porque el humo y el CO2 no cambian en segundos. Los baratos van cada 3 ticks (53 s) para vigilar en continuo. Si saltan, el nodo deja de dormir y lo mide todo cada 25.5 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20" customWidth="1" min="1" max="1"/>
    <col width="15" customWidth="1" min="2" max="2"/>
    <col width="16" customWidth="1" min="3" max="3"/>
    <col width="10" customWidth="1" min="4" max="4"/>
    <col width="16" customWidth="1" min="5" max="5"/>
    <col width="13" customWidth="1" min="6" max="6"/>
    <col width="11" customWidth="1" min="7" max="7"/>
    <col width="62" customWidth="1" min="8" max="8"/>
  </cols>
  <sheetData>
    <row r="1">
      <c r="A1" s="1" t="inlineStr">
        <is>
          <t>t activo por ciclo - tiempo que cada sensor ocupa en cada despertar</t>
        </is>
      </c>
    </row>
    <row r="2">
      <c r="A2" s="2" t="inlineStr">
        <is>
          <t>Medido con instrumentacion por slot anadida al firmware (entorno medir-tiempos). Medianas de 9 bursts. Identicos en modo normal y en alarma: el slot es el mismo.</t>
        </is>
      </c>
    </row>
    <row r="4" ht="30" customHeight="1">
      <c r="A4" s="4" t="inlineStr">
        <is>
          <t>Sensor</t>
        </is>
      </c>
      <c r="B4" s="4" t="inlineStr">
        <is>
          <t>t activo HOJA (s)</t>
        </is>
      </c>
      <c r="C4" s="4" t="inlineStr">
        <is>
          <t>t activo MEDIDO (s)</t>
        </is>
      </c>
      <c r="D4" s="4" t="inlineStr">
        <is>
          <t>Factor</t>
        </is>
      </c>
      <c r="E4" s="4" t="inlineStr">
        <is>
          <t>Recuperacion / hueco (s)</t>
        </is>
      </c>
      <c r="F4" s="4" t="inlineStr">
        <is>
          <t>Slot total (s)</t>
        </is>
      </c>
      <c r="G4" s="4" t="inlineStr">
        <is>
          <t>% del burst</t>
        </is>
      </c>
      <c r="H4" s="4" t="inlineStr">
        <is>
          <t>Nota</t>
        </is>
      </c>
    </row>
    <row r="5">
      <c r="A5" s="5" t="inlineStr">
        <is>
          <t>BME690 (T/H/P + gas)</t>
        </is>
      </c>
      <c r="B5" s="37" t="n">
        <v>10.8</v>
      </c>
      <c r="C5" s="38" t="n">
        <v>0.037</v>
      </c>
      <c r="D5" s="39">
        <f>IF(C5=0,0,C5/B5)</f>
        <v/>
      </c>
      <c r="E5" s="38" t="n">
        <v>6.101</v>
      </c>
      <c r="F5" s="37">
        <f>C5+E5</f>
        <v/>
      </c>
      <c r="G5" s="16">
        <f>F5/$F$10</f>
        <v/>
      </c>
      <c r="H5" s="8" t="inlineStr">
        <is>
          <t>Una sola llamada read() devuelve T/H/P Y gas en 37 ms. NO hay coste de 10.8 s: el calentador corre dentro del sensor y no bloquea el micro. La recuperacion de 6.1 s es un ciclo de rail para que el BMV080 pueda arrancar despues - no mide nada.</t>
        </is>
      </c>
    </row>
    <row r="6">
      <c r="A6" s="5" t="inlineStr">
        <is>
          <t>CM1106 (CO2)</t>
        </is>
      </c>
      <c r="B6" s="37" t="n">
        <v>0.7</v>
      </c>
      <c r="C6" s="38" t="n">
        <v>3.513</v>
      </c>
      <c r="D6" s="39">
        <f>IF(C6=0,0,C6/B6)</f>
        <v/>
      </c>
      <c r="E6" s="38" t="n">
        <v>1.5</v>
      </c>
      <c r="F6" s="37">
        <f>C6+E6</f>
        <v/>
      </c>
      <c r="G6" s="16">
        <f>F6/$F$10</f>
        <v/>
      </c>
      <c r="H6" s="8" t="inlineStr">
        <is>
          <t>5x lo que dice la hoja. Incluye power-cycle y calentamiento: es un sensor de disparo unico, mide al alimentarse. Llego a 4.500 s mientras el rail de 5V se cortaba en cada transmision y volvio a 3.513 s al mantenerlo (TX_KEEP_5V_RAIL), asi que sufria lo mismo que el Calypso. Sigue dando Timeout a menudo: es el sensor con el problema real que queda en el nodo.</t>
        </is>
      </c>
    </row>
    <row r="7">
      <c r="A7" s="5" t="inlineStr">
        <is>
          <t>BMV080 (particulas)</t>
        </is>
      </c>
      <c r="B7" s="37" t="n">
        <v>20</v>
      </c>
      <c r="C7" s="38" t="n">
        <v>2.135</v>
      </c>
      <c r="D7" s="39">
        <f>IF(C7=0,0,C7/B7)</f>
        <v/>
      </c>
      <c r="E7" s="38" t="n">
        <v>1.5</v>
      </c>
      <c r="F7" s="37">
        <f>C7+E7</f>
        <v/>
      </c>
      <c r="G7" s="16">
        <f>F7/$F$10</f>
        <v/>
      </c>
      <c r="H7" s="8" t="inlineStr">
        <is>
          <t>Su arranque de 5 s se cobra dentro de la recuperacion del BME690, no en su propio slot. Coste real ~7 s repartido.</t>
        </is>
      </c>
    </row>
    <row r="8">
      <c r="A8" s="5" t="inlineStr">
        <is>
          <t>Calypso (viento)</t>
        </is>
      </c>
      <c r="B8" s="37" t="n">
        <v>1</v>
      </c>
      <c r="C8" s="38" t="n">
        <v>0.774</v>
      </c>
      <c r="D8" s="39">
        <f>IF(C8=0,0,C8/B8)</f>
        <v/>
      </c>
      <c r="E8" s="38" t="n">
        <v>1.5</v>
      </c>
      <c r="F8" s="37">
        <f>C8+E8</f>
        <v/>
      </c>
      <c r="G8" s="16">
        <f>F8/$F$10</f>
        <v/>
      </c>
      <c r="H8" s="8" t="inlineStr">
        <is>
          <t>AHORA SI ES UN TIEMPO DE LECTURA. 0.774 s, con 27 bytes recibidos en las 11 de 11 lecturas. Antes daba 1.500 s clavados - la ventana entera - porque el rail de 5V se cortaba en cada transmision y el sensor no llegaba a emitir: recibia datos UNA vez tras el arranque y cero despues, mientras seguia publicando windValid=1 con el valor viejo. Con TX_KEEP_5V_RAIL lee en todos los ciclos y el slot baja 0.73 s.</t>
        </is>
      </c>
    </row>
    <row r="9">
      <c r="A9" s="5" t="inlineStr">
        <is>
          <t>SEN0466 (CO)</t>
        </is>
      </c>
      <c r="B9" s="37" t="n">
        <v>210</v>
      </c>
      <c r="C9" s="38" t="n">
        <v>0.024</v>
      </c>
      <c r="D9" s="39">
        <f>IF(C9=0,0,C9/B9)</f>
        <v/>
      </c>
      <c r="E9" s="38" t="n">
        <v>1.5</v>
      </c>
      <c r="F9" s="37">
        <f>C9+E9</f>
        <v/>
      </c>
      <c r="G9" s="16">
        <f>F9/$F$10</f>
        <v/>
      </c>
      <c r="H9" s="8" t="inlineStr">
        <is>
          <t>ARREGLADO 2026-10-06. Antes no se leia NUNCA. Los 210 s son estabilizacion en frio, no lectura: una vez caliente lee en 24 ms. No podia calentarse porque cada transmision cortaba el rail de 5V; con TX_KEEP_5V_RAIL se mantiene y el sensor vive. Solo en prealarma y alarma, que es cuando el nodo no duerme.</t>
        </is>
      </c>
    </row>
    <row r="10">
      <c r="A10" s="17" t="inlineStr">
        <is>
          <t>TOTAL burst</t>
        </is>
      </c>
      <c r="B10" s="18" t="n"/>
      <c r="C10" s="40">
        <f>SUM(C5:C9)</f>
        <v/>
      </c>
      <c r="D10" s="18" t="n"/>
      <c r="E10" s="40">
        <f>SUM(E5:E9)</f>
        <v/>
      </c>
      <c r="F10" s="40">
        <f>SUM(F5:F9)</f>
        <v/>
      </c>
      <c r="G10" s="20">
        <f>F10/$F$10</f>
        <v/>
      </c>
      <c r="H10" s="21" t="inlineStr">
        <is>
          <t>Medido directamente: mediana 19.3 s (min 19.3, max 19.4, n=9). La suma de los slots lo reproduce.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cols>
    <col width="24" customWidth="1" min="1" max="1"/>
    <col width="14" customWidth="1" min="2" max="2"/>
    <col width="14" customWidth="1" min="3" max="3"/>
    <col width="9" customWidth="1" min="4" max="4"/>
    <col width="14" customWidth="1" min="5" max="5"/>
    <col width="15" customWidth="1" min="6" max="6"/>
    <col width="14" customWidth="1" min="7" max="7"/>
    <col width="15" customWidth="1" min="8" max="8"/>
    <col width="13" customWidth="1" min="9" max="9"/>
    <col width="62" customWidth="1" min="10" max="10"/>
    <col width="20" customWidth="1" min="12" max="12"/>
  </cols>
  <sheetData>
    <row r="1">
      <c r="A1" s="1" t="inlineStr">
        <is>
          <t>Periodo base y mediciones por hora - NORMAL vs ALARMA</t>
        </is>
      </c>
      <c r="L1" s="3" t="inlineStr">
        <is>
          <t>Constantes medidas</t>
        </is>
      </c>
    </row>
    <row r="2">
      <c r="A2" s="2" t="inlineStr">
        <is>
          <t>Periodo NORMAL = n ticks x 17.8 s (tick real medido). Periodo PRE-ALARMA y ALARMA = 24.9 s medidos entre bursts consecutivos (2026-10-07, con el Calypso leyendo y el rail de 5V mantenido); el nodo no duerme. LOS DOS ESTADOS COMPARTEN CODIGO: la rama es if (g_alarmState &gt;= ALARM_PREALARM), con el mismo burst, el mismo gap de TX y el mismo hueco de muestreo, asi que sus tiempos son identicos y no hay que medirlos por separado. Lo unico propio de pre-alarma es el contador de su ventana de 10 min.</t>
        </is>
      </c>
      <c r="L2" s="22" t="inlineStr">
        <is>
          <t>Tick real (s)</t>
        </is>
      </c>
      <c r="M2" s="23" t="n">
        <v>17.8</v>
      </c>
    </row>
    <row r="3">
      <c r="L3" s="22" t="inlineStr">
        <is>
          <t>Ciclo alarma (s)</t>
        </is>
      </c>
      <c r="M3" s="23" t="n">
        <v>24.9</v>
      </c>
    </row>
    <row r="4" ht="30" customHeight="1">
      <c r="A4" s="4" t="inlineStr">
        <is>
          <t>Sensor / enlace</t>
        </is>
      </c>
      <c r="B4" s="4" t="inlineStr">
        <is>
          <t>Periodo HOJA (min)</t>
        </is>
      </c>
      <c r="C4" s="4" t="inlineStr">
        <is>
          <t>Mediciones/h HOJA</t>
        </is>
      </c>
      <c r="D4" s="4" t="inlineStr">
        <is>
          <t>Ticks</t>
        </is>
      </c>
      <c r="E4" s="4" t="inlineStr">
        <is>
          <t>Periodo NORMAL (s)</t>
        </is>
      </c>
      <c r="F4" s="4" t="inlineStr">
        <is>
          <t>Mediciones/h NORMAL</t>
        </is>
      </c>
      <c r="G4" s="4" t="inlineStr">
        <is>
          <t>Periodo PRE-ALARMA y ALARMA (s)</t>
        </is>
      </c>
      <c r="H4" s="4" t="inlineStr">
        <is>
          <t>Mediciones/h PRE-ALARMA y ALARMA</t>
        </is>
      </c>
      <c r="I4" s="4" t="inlineStr">
        <is>
          <t>Factor alarma/normal</t>
        </is>
      </c>
      <c r="J4" s="4" t="inlineStr">
        <is>
          <t>Nota</t>
        </is>
      </c>
    </row>
    <row r="5">
      <c r="A5" s="5" t="inlineStr">
        <is>
          <t>BME690 T/H/P (centinela)</t>
        </is>
      </c>
      <c r="B5" s="24" t="n">
        <v>5</v>
      </c>
      <c r="C5" s="25" t="n">
        <v>12</v>
      </c>
      <c r="D5" s="6" t="n">
        <v>3</v>
      </c>
      <c r="E5" s="24">
        <f>D5*$M$2</f>
        <v/>
      </c>
      <c r="F5" s="25">
        <f>3600/E5</f>
        <v/>
      </c>
      <c r="G5" s="24">
        <f>$M$3</f>
        <v/>
      </c>
      <c r="H5" s="25">
        <f>3600/G5</f>
        <v/>
      </c>
      <c r="I5" s="7">
        <f>IF(F5=0,0,H5/F5)</f>
        <v/>
      </c>
      <c r="J5" s="8" t="inlineStr">
        <is>
          <t>SENSOR_READ=3</t>
        </is>
      </c>
    </row>
    <row r="6">
      <c r="A6" s="5" t="inlineStr">
        <is>
          <t>BME690 VOC / gas</t>
        </is>
      </c>
      <c r="B6" s="24" t="n">
        <v>20</v>
      </c>
      <c r="C6" s="25" t="n">
        <v>3</v>
      </c>
      <c r="D6" s="6" t="n">
        <v>90</v>
      </c>
      <c r="E6" s="24">
        <f>D6*$M$2</f>
        <v/>
      </c>
      <c r="F6" s="25">
        <f>3600/E6</f>
        <v/>
      </c>
      <c r="G6" s="24">
        <f>$M$3</f>
        <v/>
      </c>
      <c r="H6" s="25">
        <f>3600/G6</f>
        <v/>
      </c>
      <c r="I6" s="7">
        <f>IF(F6=0,0,H6/F6)</f>
        <v/>
      </c>
      <c r="J6" s="8" t="inlineStr">
        <is>
          <t>BURST=90</t>
        </is>
      </c>
    </row>
    <row r="7">
      <c r="A7" s="5" t="inlineStr">
        <is>
          <t>CM1106 CO2</t>
        </is>
      </c>
      <c r="B7" s="24" t="n">
        <v>30</v>
      </c>
      <c r="C7" s="25" t="n">
        <v>2</v>
      </c>
      <c r="D7" s="6" t="n">
        <v>90</v>
      </c>
      <c r="E7" s="24">
        <f>D7*$M$2</f>
        <v/>
      </c>
      <c r="F7" s="25">
        <f>3600/E7</f>
        <v/>
      </c>
      <c r="G7" s="24">
        <f>$M$3</f>
        <v/>
      </c>
      <c r="H7" s="25">
        <f>3600/G7</f>
        <v/>
      </c>
      <c r="I7" s="7">
        <f>IF(F7=0,0,H7/F7)</f>
        <v/>
      </c>
      <c r="J7" s="8" t="inlineStr">
        <is>
          <t>BURST=90</t>
        </is>
      </c>
    </row>
    <row r="8">
      <c r="A8" s="5" t="inlineStr">
        <is>
          <t>BMV080 particulas</t>
        </is>
      </c>
      <c r="B8" s="24" t="n">
        <v>30</v>
      </c>
      <c r="C8" s="25" t="n">
        <v>2</v>
      </c>
      <c r="D8" s="6" t="n">
        <v>90</v>
      </c>
      <c r="E8" s="24">
        <f>D8*$M$2</f>
        <v/>
      </c>
      <c r="F8" s="25">
        <f>3600/E8</f>
        <v/>
      </c>
      <c r="G8" s="24">
        <f>$M$3</f>
        <v/>
      </c>
      <c r="H8" s="25">
        <f>3600/G8</f>
        <v/>
      </c>
      <c r="I8" s="7">
        <f>IF(F8=0,0,H8/F8)</f>
        <v/>
      </c>
      <c r="J8" s="8" t="inlineStr">
        <is>
          <t>BURST=90</t>
        </is>
      </c>
    </row>
    <row r="9">
      <c r="A9" s="5" t="inlineStr">
        <is>
          <t>Calypso viento</t>
        </is>
      </c>
      <c r="B9" s="24" t="n">
        <v>5</v>
      </c>
      <c r="C9" s="9" t="n"/>
      <c r="D9" s="6" t="n">
        <v>90</v>
      </c>
      <c r="E9" s="24">
        <f>D9*$M$2</f>
        <v/>
      </c>
      <c r="F9" s="25">
        <f>3600/E9</f>
        <v/>
      </c>
      <c r="G9" s="24">
        <f>$M$3</f>
        <v/>
      </c>
      <c r="H9" s="25">
        <f>3600/G9</f>
        <v/>
      </c>
      <c r="I9" s="7">
        <f>IF(F9=0,0,H9/F9)</f>
        <v/>
      </c>
      <c r="J9" s="8" t="inlineStr">
        <is>
          <t>BURST=90. El sensor NO esta conectado en C3: el slot se ejecuta y agota su ventana, pero no mide nada (rx=0).</t>
        </is>
      </c>
    </row>
    <row r="10">
      <c r="A10" s="5" t="inlineStr">
        <is>
          <t>SEN0466 CO</t>
        </is>
      </c>
      <c r="B10" s="24" t="n">
        <v>30</v>
      </c>
      <c r="C10" s="25" t="n">
        <v>2</v>
      </c>
      <c r="D10" s="26" t="inlineStr">
        <is>
          <t>excluido</t>
        </is>
      </c>
      <c r="E10" s="26" t="inlineStr">
        <is>
          <t>nunca</t>
        </is>
      </c>
      <c r="F10" s="27" t="n">
        <v>0</v>
      </c>
      <c r="G10" s="24">
        <f>$M$3</f>
        <v/>
      </c>
      <c r="H10" s="25">
        <f>3600/G10</f>
        <v/>
      </c>
      <c r="I10" s="7">
        <f>IF(F10=0,0,H10/F10)</f>
        <v/>
      </c>
      <c r="J10" s="8" t="inlineStr">
        <is>
          <t>En NORMAL sigue excluido: el sueno corta los railes y no puede acumular 210 s. En PRE-ALARMA y ALARMA el nodo no duerme, calienta una vez (~3.5 min) y ya mide.</t>
        </is>
      </c>
    </row>
    <row r="11">
      <c r="A11" s="5" t="inlineStr">
        <is>
          <t>TX LoRa  C -&gt; B</t>
        </is>
      </c>
      <c r="B11" s="9" t="n"/>
      <c r="C11" s="9" t="n"/>
      <c r="D11" s="6" t="n">
        <v>4</v>
      </c>
      <c r="E11" s="24">
        <f>D11*$M$2</f>
        <v/>
      </c>
      <c r="F11" s="25">
        <f>3600/E11</f>
        <v/>
      </c>
      <c r="G11" s="24">
        <f>$M$3</f>
        <v/>
      </c>
      <c r="H11" s="25">
        <f>3600/G11</f>
        <v/>
      </c>
      <c r="I11" s="7">
        <f>IF(F11=0,0,H11/F11)</f>
        <v/>
      </c>
      <c r="J11" s="8" t="inlineStr">
        <is>
          <t>LORA_TRANS=4</t>
        </is>
      </c>
    </row>
    <row r="13">
      <c r="A13" s="17" t="inlineStr">
        <is>
          <t>Envio B -&gt; Modulo A</t>
        </is>
      </c>
      <c r="B13" s="28" t="n">
        <v>30</v>
      </c>
      <c r="C13" s="29" t="n">
        <v>2</v>
      </c>
      <c r="D13" s="18" t="n"/>
      <c r="E13" s="30" t="n">
        <v>65.40000000000001</v>
      </c>
      <c r="F13" s="29">
        <f>3600/E13</f>
        <v/>
      </c>
      <c r="G13" s="18" t="n"/>
      <c r="H13" s="18" t="n"/>
      <c r="I13" s="18" t="n"/>
      <c r="J13" s="21" t="inlineStr">
        <is>
          <t>138 intervalos reales. mediana 65.4 s / media 61.7 / p25 41.6 / p75 71.6 / max 125. La hoja asume 30 min: 27x de error.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110" customWidth="1" min="2" max="2"/>
  </cols>
  <sheetData>
    <row r="1">
      <c r="A1" s="1" t="inlineStr">
        <is>
          <t>Como se obtuvo cada numero</t>
        </is>
      </c>
    </row>
    <row r="3" ht="48" customHeight="1">
      <c r="A3" s="31" t="inlineStr">
        <is>
          <t>Placa</t>
        </is>
      </c>
      <c r="B3" s="32" t="inlineStr">
        <is>
          <t>Modulo C nodo 3 (C3), MAC 28:84:85:6F:82:88. Fecha 2026-10-06.</t>
        </is>
      </c>
    </row>
    <row r="4" ht="48" customHeight="1">
      <c r="A4" s="31" t="inlineStr">
        <is>
          <t>t activo por sensor</t>
        </is>
      </c>
      <c r="B4" s="32" t="inlineStr">
        <is>
          <t>Instrumentacion anadida al firmware: millis() alrededor de cada runSlot(), con una linea [t] por slot. Entorno medir-tiempos (SLEEP_ENABLED=0) para que cada pasada sea un burst completo y el puerto serie no desaparezca. 9 bursts; se toma la mediana.</t>
        </is>
      </c>
    </row>
    <row r="5" ht="48" customHeight="1">
      <c r="A5" s="31" t="inlineStr">
        <is>
          <t>Tick real</t>
        </is>
      </c>
      <c r="B5" s="32" t="inlineStr">
        <is>
          <t>Intervalos entre tramas STAT consecutivas de C3 en el log de Modulo B, divididos por el numero de despertares que declara el propio STAT. 37 intervalos en dos capturas independientes: 17.8 s y 18.1 s.</t>
        </is>
      </c>
    </row>
    <row r="6" ht="48" customHeight="1">
      <c r="A6" s="31" t="inlineStr">
        <is>
          <t>Periodos normales</t>
        </is>
      </c>
      <c r="B6" s="32" t="inlineStr">
        <is>
          <t>Numero de ticks de cada contador (SENSOR_READ=3, BURST=90, LORA_TRANS=4) multiplicado por el tick real. NO por los 10 s nominales.</t>
        </is>
      </c>
    </row>
    <row r="7" ht="48" customHeight="1">
      <c r="A7" s="31" t="inlineStr">
        <is>
          <t>Modo alarma</t>
        </is>
      </c>
      <c r="B7" s="32" t="inlineStr">
        <is>
          <t>Entorno medir-alarma (FORCE_ALARM_STATE=2). El nodo no duerme y repite el burst completo. Periodo medido entre bursts consecutivos: 24.9 s (11 bursts, 2026-10-07, con TX_KEEP_5V_RAIL).</t>
        </is>
      </c>
    </row>
    <row r="8" ht="48" customHeight="1">
      <c r="A8" s="31" t="inlineStr">
        <is>
          <t>Envio B -&gt; Modulo A</t>
        </is>
      </c>
      <c r="B8" s="32" t="inlineStr">
        <is>
          <t>Intervalos entre publicaciones AT+QMTPUB a v1/gateway/telemetry en 9 capturas de Modulo B del 5 y 6 de octubre. Se descartan los huecos &lt;5 s (publicaciones consecutivas del mismo evento) y &gt;600 s (reconexiones). n=138.</t>
        </is>
      </c>
    </row>
    <row r="9" ht="48" customHeight="1">
      <c r="A9" s="31" t="inlineStr">
        <is>
          <t>Lo que NO se ha medido aqui</t>
        </is>
      </c>
      <c r="B9" s="32" t="inlineStr">
        <is>
          <t>Las corrientes. Requieren el PPK2 en el banco. Las medidas de corriente existentes estan en test_consumos/mediciones.csv, y dos contradicen la hoja: el SEN0466 consume 14.5 mA y no 5, y no tiene modo reposo (~15 mA siempre que este alimentado, no 0 uA).</t>
        </is>
      </c>
    </row>
    <row r="10" ht="48" customHeight="1">
      <c r="A10" s="31" t="inlineStr">
        <is>
          <t>Avisos</t>
        </is>
      </c>
      <c r="B10" s="32" t="inlineStr">
        <is>
          <t>La hoja no incluye el ESP32-S3 (35 mA despierto, 0.026 mA dormido) ni la radio RYLR998 (50 mA en RX, 151 mA de pico en TX). A 45% de duty solo el ESP son ~15 mA de media, frente a ~1.4 mA de todos los sensores juntos.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2026-10-07T12:38:21Z</dcterms:created>
  <dcterms:modified xsi:type="dcterms:W3CDTF">2026-10-07T12:38:21Z</dcterms:modified>
</cp:coreProperties>
</file>