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6">
    <fill>
      <patternFill/>
    </fill>
    <fill>
      <patternFill patternType="gray125"/>
    </fill>
    <fill>
      <patternFill patternType="solid">
        <fgColor rgb="001F4E79"/>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3" borderId="1" applyAlignment="1" pivotButton="0" quotePrefix="0" xfId="0">
      <alignment vertical="top" wrapText="1"/>
    </xf>
    <xf numFmtId="0" fontId="0" fillId="3" borderId="1" applyAlignment="1" pivotButton="0" quotePrefix="0" xfId="0">
      <alignment vertical="top" wrapText="1"/>
    </xf>
    <xf numFmtId="165" fontId="5" fillId="3" borderId="1" applyAlignment="1" pivotButton="0" quotePrefix="0" xfId="0">
      <alignment vertical="top" wrapText="1"/>
    </xf>
    <xf numFmtId="9" fontId="5" fillId="3" borderId="1" applyAlignment="1" pivotButton="0" quotePrefix="0" xfId="0">
      <alignment vertical="top" wrapText="1"/>
    </xf>
    <xf numFmtId="0" fontId="2" fillId="3" borderId="1" applyAlignment="1" pivotButton="0" quotePrefix="0" xfId="0">
      <alignment vertical="top" wrapText="1"/>
    </xf>
    <xf numFmtId="0" fontId="6" fillId="4"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167" fontId="5" fillId="3" borderId="1" applyAlignment="1" pivotButton="0" quotePrefix="0" xfId="0">
      <alignment vertical="top" wrapText="1"/>
    </xf>
    <xf numFmtId="2" fontId="5" fillId="3" borderId="1" applyAlignment="1" pivotButton="0" quotePrefix="0" xfId="0">
      <alignment vertical="top" wrapText="1"/>
    </xf>
    <xf numFmtId="167" fontId="6" fillId="3"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4" borderId="0" applyAlignment="1" pivotButton="0" quotePrefix="0" xfId="0">
      <alignment vertical="top" wrapText="1"/>
    </xf>
    <xf numFmtId="0" fontId="5" fillId="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5" borderId="1" applyAlignment="1" pivotButton="0" quotePrefix="0" xfId="0">
      <alignment vertical="top" wrapText="1"/>
    </xf>
    <xf numFmtId="0" fontId="3" fillId="4"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2" t="inlineStr">
        <is>
          <t>Modulo C: que mide, cada cuanto, y por que</t>
        </is>
      </c>
    </row>
    <row r="2">
      <c r="B2" s="33" t="inlineStr">
        <is>
          <t>Esta hoja explica las otras. Si es la primera vez que ves este libro, leela entera: son cinco minutos y sin ella los numeros no significan nada.</t>
        </is>
      </c>
    </row>
    <row r="4" ht="22" customHeight="1">
      <c r="A4" s="34" t="inlineStr">
        <is>
          <t>QUE ES EL MODULO C</t>
        </is>
      </c>
      <c r="B4" s="35" t="inlineStr"/>
    </row>
    <row r="5" ht="28" customHeight="1">
      <c r="A5" s="36"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6"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6" t="inlineStr">
        <is>
          <t>Los cinco sensores</t>
        </is>
      </c>
      <c r="B7" s="5" t="inlineStr">
        <is>
          <t>BME690: temperatura, humedad, presion y gases.  BMV080: particulas, o sea humo.  CM1106: CO2.  SEN0466: monoxido de carbono.  Calypso: viento.</t>
        </is>
      </c>
    </row>
    <row r="9" ht="22" customHeight="1">
      <c r="A9" s="34" t="inlineStr">
        <is>
          <t>EL TICK: LA UNIDAD DE TIEMPO</t>
        </is>
      </c>
      <c r="B9" s="35" t="inlineStr"/>
    </row>
    <row r="10" ht="28" customHeight="1">
      <c r="A10" s="36" t="inlineStr">
        <is>
          <t>Que es un tick</t>
        </is>
      </c>
      <c r="B10" s="5" t="inlineStr">
        <is>
          <t>UN DESPERTAR. El aparato duerme, se despierta, mira que le toca hacer, lo hace, y se vuelve a dormir. A cada una de esas veces la llamamos un tick.</t>
        </is>
      </c>
    </row>
    <row r="11" ht="37.5" customHeight="1">
      <c r="A11" s="36"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6" t="inlineStr">
        <is>
          <t>Cuanto dura un tick</t>
        </is>
      </c>
      <c r="B12" s="5" t="inlineStr">
        <is>
          <t>EN EL PROGRAMA pone 10 segundos: es lo que se programa dormir. PERO EN LA REALIDAD son 18.8 segundos, porque ademas de dormir 10 s esta despierto unos 8.8 s haciendo el trabajo. Medido sobre la placa el 2026-10-08.</t>
        </is>
      </c>
    </row>
    <row r="13" ht="37.5" customHeight="1">
      <c r="A13" s="36" t="inlineStr">
        <is>
          <t>Por que importa tanto</t>
        </is>
      </c>
      <c r="B13" s="5" t="inlineStr">
        <is>
          <t>Porque para pasar de 'cada 90 ticks' a minutos hay que multiplicar por 18.8, no por 10. Si se usa el 10, todos los periodos salen un 78% mas cortos de lo que son en realidad. Es el error mas comun al leer estas cifras.</t>
        </is>
      </c>
    </row>
    <row r="15" ht="22" customHeight="1">
      <c r="A15" s="34" t="inlineStr">
        <is>
          <t>LAS DOS CLASES DE LECTURA</t>
        </is>
      </c>
      <c r="B15" s="35" t="inlineStr"/>
    </row>
    <row r="16" ht="28" customHeight="1">
      <c r="A16" s="36" t="inlineStr">
        <is>
          <t>No lee todo cada vez</t>
        </is>
      </c>
      <c r="B16" s="5" t="inlineStr">
        <is>
          <t>Hay dos tipos de lectura, y es importante no confundirlos porque van a ritmos muy distintos.</t>
        </is>
      </c>
    </row>
    <row r="17" ht="37.5" customHeight="1">
      <c r="A17" s="36" t="inlineStr">
        <is>
          <t>1. CENTINELA  (lectura barata)</t>
        </is>
      </c>
      <c r="B17" s="5" t="inlineStr">
        <is>
          <t>Lee temperatura, humedad, presion y CO. Es rapido y gasta poco. Se hace cada 3 ticks, o sea cada 56 segundos. Sirve para vigilar en continuo por si algo empieza. El sensor de CO esta cableado directo a corriente - siempre encendido - asi que esta siempre listo.</t>
        </is>
      </c>
    </row>
    <row r="18" ht="37.5" customHeight="1">
      <c r="A18" s="36" t="inlineStr">
        <is>
          <t>2. BURST  (lectura completa)</t>
        </is>
      </c>
      <c r="B18" s="5" t="inlineStr">
        <is>
          <t>'Burst' es el nombre que le pusimos en el programa; en castellano seria LECTURA COMPLETA. Lee LOS CINCO SENSORES, incluidos los caros. Se hace cada 90 ticks, o sea cada 28.2 minutos, y tarda 18.57 segundos durante los cuales el aparato esta despierto entero.</t>
        </is>
      </c>
    </row>
    <row r="19" ht="50" customHeight="1">
      <c r="A19" s="36"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4" t="inlineStr">
        <is>
          <t>LOS TRES ESTADOS</t>
        </is>
      </c>
      <c r="B21" s="35" t="inlineStr"/>
    </row>
    <row r="22" ht="28" customHeight="1">
      <c r="A22" s="36" t="inlineStr">
        <is>
          <t>NORMAL</t>
        </is>
      </c>
      <c r="B22" s="5" t="inlineStr">
        <is>
          <t>Lo habitual. Duerme entre lectura y lectura, hace un centinela cada 53 s y una lectura completa cada 28.2 min. Esta despierto un 47% del tiempo.</t>
        </is>
      </c>
    </row>
    <row r="23" ht="37.5" customHeight="1">
      <c r="A23" s="36"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6"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4" t="inlineStr">
        <is>
          <t>COMO LEER CADA HOJA</t>
        </is>
      </c>
      <c r="B26" s="35" t="inlineStr"/>
    </row>
    <row r="27" ht="28" customHeight="1">
      <c r="A27" s="36"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6"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6"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6"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6"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6" t="inlineStr">
        <is>
          <t>Resumen</t>
        </is>
      </c>
      <c r="B32" s="5" t="inlineStr">
        <is>
          <t>Las cuatro cifras que mas cambian respecto a la hoja original.</t>
        </is>
      </c>
    </row>
    <row r="33" ht="28" customHeight="1">
      <c r="A33" s="36" t="inlineStr">
        <is>
          <t>Metodo</t>
        </is>
      </c>
      <c r="B33" s="5" t="inlineStr">
        <is>
          <t>Como se obtuvo cada numero, para que cualquiera pueda repetirlo y comprobarlo.</t>
        </is>
      </c>
    </row>
    <row r="34" ht="37.5" customHeight="1">
      <c r="A34" s="36"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2" t="inlineStr">
        <is>
          <t>EN UNA LINEA</t>
        </is>
      </c>
    </row>
    <row r="37" ht="42" customHeight="1">
      <c r="B37" s="37" t="inlineStr">
        <is>
          <t>El aparato duerme para ahorrar bateria y se despierta cada 18.8 segundos. Cada 3 despertares mira la temperatura y el CO;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18.8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18.8</v>
      </c>
      <c r="D6" s="5" t="inlineStr">
        <is>
          <t>s</t>
        </is>
      </c>
      <c r="E6" s="7">
        <f>C6/B6</f>
        <v/>
      </c>
      <c r="F6" s="8" t="inlineStr">
        <is>
          <t>11 intervalos STAT-a-STAT del 2026-10-08, con el SEN0466 ya leyendo en el centinela. Eran 17.8 s antes de activarlo: el CO cuesta 1 s por tick, y no por leer - son 24 ms - sino porque obliga a levantar el rail en ciclos que antes no lo levantaban.</t>
        </is>
      </c>
    </row>
    <row r="7">
      <c r="A7" s="5" t="inlineStr">
        <is>
          <t>Duty despierto del nodo (normal)</t>
        </is>
      </c>
      <c r="B7" s="9" t="n"/>
      <c r="C7" s="10" t="n">
        <v>0.49</v>
      </c>
      <c r="D7" s="5" t="inlineStr">
        <is>
          <t>%</t>
        </is>
      </c>
      <c r="E7" s="9" t="n"/>
      <c r="F7" s="8" t="inlineStr">
        <is>
          <t>MEDIDO DOS VECES POR CAMINOS DISTINTOS, y coinciden: 47% desde las tramas STAT por radio (18.8 s de tick menos 10 s de sueno) y 49% sondeando si el puerto USB del nodo existe, que aparece y desaparece al ritmo del sueno y sirve de cronometro externo sin tocar la placa. El documento de estrategia del nodo presupone despertares de 40 ms: la lectura del sensor si los cumple, pero el despertar completo -levantar railes, inicializar, leer, transmitir si toca- son 8.8 s, unas 220 veces mas.</t>
        </is>
      </c>
    </row>
    <row r="8">
      <c r="A8" s="5" t="inlineStr">
        <is>
          <t>Sueno profundo por tick</t>
        </is>
      </c>
      <c r="B8" s="5" t="n">
        <v>10</v>
      </c>
      <c r="C8" s="6" t="n">
        <v>10.2</v>
      </c>
      <c r="D8" s="5" t="inlineStr">
        <is>
          <t>s</t>
        </is>
      </c>
      <c r="E8" s="7">
        <f>C8/B8</f>
        <v/>
      </c>
      <c r="F8" s="8" t="inlineStr">
        <is>
          <t>Medido con el puerto USB como cronometro: los tramos en que el nodo desaparece duran 10.2-10.3 s, clavados. El sueno si cumple lo programado; lo que se desvia es el despertar.</t>
        </is>
      </c>
    </row>
    <row r="9">
      <c r="A9" s="5" t="inlineStr">
        <is>
          <t>Despertar vacio (nada que hacer)</t>
        </is>
      </c>
      <c r="B9" s="9" t="n"/>
      <c r="C9" s="6" t="n">
        <v>0.3</v>
      </c>
      <c r="D9" s="5" t="inlineStr">
        <is>
          <t>s</t>
        </is>
      </c>
      <c r="E9" s="9" t="n"/>
      <c r="F9" s="8" t="inlineStr">
        <is>
          <t>La mitad de los despertares no tienen trabajo: el nodo mira el contador, ve que no toca ni centinela ni transmitir, y se vuelve a dormir en 0.3 s.</t>
        </is>
      </c>
    </row>
    <row r="10">
      <c r="A10" s="5" t="inlineStr">
        <is>
          <t>Despertar con trabajo</t>
        </is>
      </c>
      <c r="B10" s="5" t="n">
        <v>0.04</v>
      </c>
      <c r="C10" s="6" t="n">
        <v>15</v>
      </c>
      <c r="D10" s="5" t="inlineStr">
        <is>
          <t>s</t>
        </is>
      </c>
      <c r="E10" s="7">
        <f>C10/B10</f>
        <v/>
      </c>
      <c r="F10" s="8" t="inlineStr">
        <is>
          <t>De 12 a 18 s segun lo que toque. Aqui esta la diferencia con el documento de estrategia, que presupone 40 ms: la LECTURA del sensor si los cumple, pero levantar railes, inicializar, leer, transmitir y volver a dormir son segundos.</t>
        </is>
      </c>
    </row>
    <row r="11">
      <c r="A11" s="5" t="inlineStr">
        <is>
          <t>Burst completo (5 sensores)</t>
        </is>
      </c>
      <c r="B11" s="9" t="n"/>
      <c r="C11" s="6" t="n">
        <v>18.54</v>
      </c>
      <c r="D11" s="5" t="inlineStr">
        <is>
          <t>s</t>
        </is>
      </c>
      <c r="E11" s="9" t="n"/>
      <c r="F11" s="8" t="inlineStr">
        <is>
          <t>11 bursts con el Calypso leyendo y el rail de 5V mantenido (2026-10-07). Bajo desde 19.29 s: el Calypso deja de agotar su ventana y el CM1106 recupera un segundo. Identico en pre-alarma y en alarma: comparten rama de codigo</t>
        </is>
      </c>
    </row>
    <row r="12">
      <c r="A12" s="5" t="inlineStr">
        <is>
          <t>TX de C3 a Modulo B</t>
        </is>
      </c>
      <c r="B12" s="9" t="n"/>
      <c r="C12" s="6" t="n">
        <v>73.59999999999999</v>
      </c>
      <c r="D12" s="5" t="inlineStr">
        <is>
          <t>s</t>
        </is>
      </c>
      <c r="E12" s="9" t="n"/>
      <c r="F12" s="8" t="inlineStr">
        <is>
          <t>10 intervalos medidos el 2026-10-08. El envio de B a Modulo A es aparte: 65.4 s, n=138.</t>
        </is>
      </c>
    </row>
    <row r="14" ht="28" customHeight="1">
      <c r="A14" s="11" t="inlineStr">
        <is>
          <t>El periodo de envio a Modulo A conviene revisarlo: medido son ~65 s. Como la radio es la carga mayor del nodo, es el dato que mas pesa en el consumo por hora.</t>
        </is>
      </c>
    </row>
  </sheetData>
  <mergeCells count="1">
    <mergeCell ref="A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38" t="n">
        <v>10.8</v>
      </c>
      <c r="C5" s="39" t="n">
        <v>0.037</v>
      </c>
      <c r="D5" s="40">
        <f>IF(C5=0,0,C5/B5)</f>
        <v/>
      </c>
      <c r="E5" s="39" t="n">
        <v>6.101</v>
      </c>
      <c r="F5" s="38">
        <f>C5+E5</f>
        <v/>
      </c>
      <c r="G5" s="15">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38" t="n">
        <v>0.7</v>
      </c>
      <c r="C6" s="39" t="n">
        <v>3.513</v>
      </c>
      <c r="D6" s="40">
        <f>IF(C6=0,0,C6/B6)</f>
        <v/>
      </c>
      <c r="E6" s="39" t="n">
        <v>1.5</v>
      </c>
      <c r="F6" s="38">
        <f>C6+E6</f>
        <v/>
      </c>
      <c r="G6" s="15">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38" t="n">
        <v>20</v>
      </c>
      <c r="C7" s="39" t="n">
        <v>2.135</v>
      </c>
      <c r="D7" s="40">
        <f>IF(C7=0,0,C7/B7)</f>
        <v/>
      </c>
      <c r="E7" s="39" t="n">
        <v>1.5</v>
      </c>
      <c r="F7" s="38">
        <f>C7+E7</f>
        <v/>
      </c>
      <c r="G7" s="15">
        <f>F7/$F$10</f>
        <v/>
      </c>
      <c r="H7" s="8" t="inlineStr">
        <is>
          <t>Su arranque de 5 s se cobra dentro de la recuperacion del BME690, no en su propio slot. Coste real ~7 s repartido.</t>
        </is>
      </c>
    </row>
    <row r="8">
      <c r="A8" s="5" t="inlineStr">
        <is>
          <t>Calypso (viento)</t>
        </is>
      </c>
      <c r="B8" s="38" t="n">
        <v>1</v>
      </c>
      <c r="C8" s="39" t="n">
        <v>0.774</v>
      </c>
      <c r="D8" s="40">
        <f>IF(C8=0,0,C8/B8)</f>
        <v/>
      </c>
      <c r="E8" s="39" t="n">
        <v>1.5</v>
      </c>
      <c r="F8" s="38">
        <f>C8+E8</f>
        <v/>
      </c>
      <c r="G8" s="15">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38" t="n">
        <v>210</v>
      </c>
      <c r="C9" s="39" t="n">
        <v>0.024</v>
      </c>
      <c r="D9" s="40">
        <f>IF(C9=0,0,C9/B9)</f>
        <v/>
      </c>
      <c r="E9" s="39" t="n">
        <v>1.5</v>
      </c>
      <c r="F9" s="38">
        <f>C9+E9</f>
        <v/>
      </c>
      <c r="G9" s="15">
        <f>F9/$F$10</f>
        <v/>
      </c>
      <c r="H9" s="8" t="inlineStr">
        <is>
          <t>MEDIDO 2026-10-08: 24 ms exactos, 16 de 16 lecturas, sin una sola desviacion. Los 210 s de la hoja original son la ESTABILIZACION EN FRIO, no la lectura. Antes no se leia nunca porque cada transmision cortaba el rail de 5V y el sensor no llegaba a acumular esos 210 s; con TX_KEEP_5V_RAIL el rail se mantiene y el sensor vive. Una vez caliente SIGUE caliente aunque el microcontrolador se reinicie, porque el rail no se apaga: en esta medida leyo ya desde el primer burst, a los 4.7 s. Solo en prealarma y alarma, que es cuando el nodo no duerme.</t>
        </is>
      </c>
    </row>
    <row r="10">
      <c r="A10" s="16" t="inlineStr">
        <is>
          <t>TOTAL burst</t>
        </is>
      </c>
      <c r="B10" s="17" t="n"/>
      <c r="C10" s="41">
        <f>SUM(C5:C9)</f>
        <v/>
      </c>
      <c r="D10" s="17" t="n"/>
      <c r="E10" s="41">
        <f>SUM(E5:E9)</f>
        <v/>
      </c>
      <c r="F10" s="41">
        <f>SUM(F5:F9)</f>
        <v/>
      </c>
      <c r="G10" s="19">
        <f>F10/$F$10</f>
        <v/>
      </c>
      <c r="H10" s="20"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18.8 s (tick real medido el 2026-10-08).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1" t="inlineStr">
        <is>
          <t>Tick real (s)</t>
        </is>
      </c>
      <c r="M2" s="21" t="n">
        <v>18.8</v>
      </c>
    </row>
    <row r="3">
      <c r="L3" s="11" t="inlineStr">
        <is>
          <t>Ciclo alarma (s)</t>
        </is>
      </c>
      <c r="M3" s="21"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2" t="n">
        <v>5</v>
      </c>
      <c r="C5" s="23" t="n">
        <v>12</v>
      </c>
      <c r="D5" s="6" t="n">
        <v>3</v>
      </c>
      <c r="E5" s="22">
        <f>D5*$M$2</f>
        <v/>
      </c>
      <c r="F5" s="23">
        <f>3600/E5</f>
        <v/>
      </c>
      <c r="G5" s="22">
        <f>$M$3</f>
        <v/>
      </c>
      <c r="H5" s="23">
        <f>3600/G5</f>
        <v/>
      </c>
      <c r="I5" s="7">
        <f>IF(F5=0,"solo en alarma",H5/F5)</f>
        <v/>
      </c>
      <c r="J5" s="8" t="inlineStr">
        <is>
          <t>SENSOR_READ=3. El centinela es la lectura barata que vigila en continuo.</t>
        </is>
      </c>
    </row>
    <row r="6">
      <c r="A6" s="5" t="inlineStr">
        <is>
          <t>BME690 gases  (lectura completa)</t>
        </is>
      </c>
      <c r="B6" s="22" t="n">
        <v>20</v>
      </c>
      <c r="C6" s="23" t="n">
        <v>3</v>
      </c>
      <c r="D6" s="6" t="n">
        <v>90</v>
      </c>
      <c r="E6" s="22">
        <f>D6*$M$2</f>
        <v/>
      </c>
      <c r="F6" s="23">
        <f>3600/E6</f>
        <v/>
      </c>
      <c r="G6" s="22">
        <f>$M$3</f>
        <v/>
      </c>
      <c r="H6" s="23">
        <f>3600/G6</f>
        <v/>
      </c>
      <c r="I6" s="7">
        <f>IF(F6=0,"solo en alarma",H6/F6)</f>
        <v/>
      </c>
      <c r="J6" s="8" t="inlineStr">
        <is>
          <t>BURST=90</t>
        </is>
      </c>
    </row>
    <row r="7">
      <c r="A7" s="5" t="inlineStr">
        <is>
          <t>CM1106 CO2  (lectura completa)</t>
        </is>
      </c>
      <c r="B7" s="22" t="n">
        <v>30</v>
      </c>
      <c r="C7" s="23" t="n">
        <v>2</v>
      </c>
      <c r="D7" s="6" t="n">
        <v>90</v>
      </c>
      <c r="E7" s="22">
        <f>D7*$M$2</f>
        <v/>
      </c>
      <c r="F7" s="23">
        <f>3600/E7</f>
        <v/>
      </c>
      <c r="G7" s="22">
        <f>$M$3</f>
        <v/>
      </c>
      <c r="H7" s="23">
        <f>3600/G7</f>
        <v/>
      </c>
      <c r="I7" s="7">
        <f>IF(F7=0,"solo en alarma",H7/F7)</f>
        <v/>
      </c>
      <c r="J7" s="8" t="inlineStr">
        <is>
          <t>BURST=90</t>
        </is>
      </c>
    </row>
    <row r="8">
      <c r="A8" s="5" t="inlineStr">
        <is>
          <t>BMV080 humo  (lectura completa)</t>
        </is>
      </c>
      <c r="B8" s="22" t="n">
        <v>30</v>
      </c>
      <c r="C8" s="23" t="n">
        <v>2</v>
      </c>
      <c r="D8" s="6" t="n">
        <v>90</v>
      </c>
      <c r="E8" s="22">
        <f>D8*$M$2</f>
        <v/>
      </c>
      <c r="F8" s="23">
        <f>3600/E8</f>
        <v/>
      </c>
      <c r="G8" s="22">
        <f>$M$3</f>
        <v/>
      </c>
      <c r="H8" s="23">
        <f>3600/G8</f>
        <v/>
      </c>
      <c r="I8" s="7">
        <f>IF(F8=0,"solo en alarma",H8/F8)</f>
        <v/>
      </c>
      <c r="J8" s="8" t="inlineStr">
        <is>
          <t>BURST=90</t>
        </is>
      </c>
    </row>
    <row r="9">
      <c r="A9" s="5" t="inlineStr">
        <is>
          <t>Calypso viento  (lectura completa)</t>
        </is>
      </c>
      <c r="B9" s="22" t="n">
        <v>5</v>
      </c>
      <c r="C9" s="9" t="n"/>
      <c r="D9" s="6" t="n">
        <v>90</v>
      </c>
      <c r="E9" s="22">
        <f>D9*$M$2</f>
        <v/>
      </c>
      <c r="F9" s="23">
        <f>3600/E9</f>
        <v/>
      </c>
      <c r="G9" s="22">
        <f>$M$3</f>
        <v/>
      </c>
      <c r="H9" s="23">
        <f>3600/G9</f>
        <v/>
      </c>
      <c r="I9" s="7">
        <f>IF(F9=0,"solo en alarma",H9/F9)</f>
        <v/>
      </c>
      <c r="J9" s="8" t="inlineStr">
        <is>
          <t>BURST=90. El sensor NO esta conectado en C3: el slot se ejecuta y agota su ventana, pero no mide nada (rx=0).</t>
        </is>
      </c>
    </row>
    <row r="10">
      <c r="A10" s="5" t="inlineStr">
        <is>
          <t>SEN0466 CO  (centinela, 24/7)</t>
        </is>
      </c>
      <c r="B10" s="22" t="n">
        <v>30</v>
      </c>
      <c r="C10" s="23" t="n">
        <v>2</v>
      </c>
      <c r="D10" s="6" t="n">
        <v>3</v>
      </c>
      <c r="E10" s="22">
        <f>D10*$M$2</f>
        <v/>
      </c>
      <c r="F10" s="23">
        <f>3600/E10</f>
        <v/>
      </c>
      <c r="G10" s="22">
        <f>$M$3</f>
        <v/>
      </c>
      <c r="H10" s="23">
        <f>3600/G10</f>
        <v/>
      </c>
      <c r="I10" s="7">
        <f>IF(F10=0,"solo en alarma",H10/F10)</f>
        <v/>
      </c>
      <c r="J10" s="8" t="inlineStr">
        <is>
          <t>VA CABLEADO DIRECTO A CORRIENTE, saltandose el transistor del rail de 5V, asi que nunca pierde alimentacion. Sus 210 s de estabilizacion se pagan UNA VEZ al energizar la placa y a partir de ahi esta siempre caliente. Por eso se lee en el centinela junto al BME690, cada 3 ticks, que es lo que pide el documento de estrategia. Hasta el 2026-10-08 el firmware lo excluia del ciclo, suponiendo que compartia el rail conmutado.</t>
        </is>
      </c>
    </row>
    <row r="11">
      <c r="A11" s="5" t="inlineStr">
        <is>
          <t>TX LoRa  C -&gt; B</t>
        </is>
      </c>
      <c r="B11" s="9" t="n"/>
      <c r="C11" s="9" t="n"/>
      <c r="D11" s="6" t="n">
        <v>4</v>
      </c>
      <c r="E11" s="22">
        <f>D11*$M$2</f>
        <v/>
      </c>
      <c r="F11" s="23">
        <f>3600/E11</f>
        <v/>
      </c>
      <c r="G11" s="22">
        <f>$M$3</f>
        <v/>
      </c>
      <c r="H11" s="23">
        <f>3600/G11</f>
        <v/>
      </c>
      <c r="I11" s="7">
        <f>IF(F11=0,"solo en alarma",H11/F11)</f>
        <v/>
      </c>
      <c r="J11" s="8" t="inlineStr">
        <is>
          <t>LORA_TRANS=4</t>
        </is>
      </c>
    </row>
    <row r="13">
      <c r="A13" s="16" t="inlineStr">
        <is>
          <t>Envio B -&gt; Modulo A</t>
        </is>
      </c>
      <c r="B13" s="24" t="n">
        <v>30</v>
      </c>
      <c r="C13" s="25" t="n">
        <v>2</v>
      </c>
      <c r="D13" s="17" t="n"/>
      <c r="E13" s="26" t="n">
        <v>65.40000000000001</v>
      </c>
      <c r="F13" s="25">
        <f>3600/E13</f>
        <v/>
      </c>
      <c r="G13" s="17" t="n"/>
      <c r="H13" s="17" t="n"/>
      <c r="I13" s="17" t="n"/>
      <c r="J13" s="20" t="inlineStr">
        <is>
          <t>138 intervalos reales. mediana 65.4 s / media 61.7 / p25 41.6 / p75 71.6 / max 125. La hoja original indica 30 min.</t>
        </is>
      </c>
    </row>
    <row r="15">
      <c r="A15" s="27" t="inlineStr">
        <is>
          <t>COMO SE LEE UNA FILA</t>
        </is>
      </c>
    </row>
    <row r="16" ht="32" customHeight="1">
      <c r="A16" s="28" t="inlineStr">
        <is>
          <t>Columnas B y C</t>
        </is>
      </c>
      <c r="B16" s="29" t="inlineStr">
        <is>
          <t>Lo que decia la hoja original. Estan solo para comparar; no son medidas.</t>
        </is>
      </c>
    </row>
    <row r="17" ht="32" customHeight="1">
      <c r="A17" s="28" t="inlineStr">
        <is>
          <t>Ticks (columna D)</t>
        </is>
      </c>
      <c r="B17" s="29" t="inlineStr">
        <is>
          <t>Cuantos despertares del aparato pasan entre una lectura de ese sensor y la siguiente. 3 = centinela (lo barato, cada rato); 90 = burst o lectura completa (todo, de tanto en tanto); 'excluido' = no se lee.</t>
        </is>
      </c>
    </row>
    <row r="18" ht="32" customHeight="1">
      <c r="A18" s="28" t="inlineStr">
        <is>
          <t>Periodo NORMAL (E)</t>
        </is>
      </c>
      <c r="B18" s="29" t="inlineStr">
        <is>
          <t>Es Ticks x 18.8 s. El 18.8 es lo que dura un despertar DE VERDAD, medido; en el programa pone 10 s. Esta en la celda M2.</t>
        </is>
      </c>
    </row>
    <row r="19" ht="32" customHeight="1">
      <c r="A19" s="28" t="inlineStr">
        <is>
          <t>Mediciones/h NORMAL (F)</t>
        </is>
      </c>
      <c r="B19" s="29" t="inlineStr">
        <is>
          <t>Son 3600 segundos de una hora, divididos entre el periodo.</t>
        </is>
      </c>
    </row>
    <row r="20" ht="32" customHeight="1">
      <c r="A20" s="28" t="inlineStr">
        <is>
          <t>Periodo ALARMA (G)</t>
        </is>
      </c>
      <c r="B20" s="29" t="inlineStr">
        <is>
          <t>24.9 s para todos. En alarma el aparato no duerme y repite la lectura completa sin parar, asi que ya no depende de los despertares. M3.</t>
        </is>
      </c>
    </row>
    <row r="21" ht="32" customHeight="1">
      <c r="A21" s="28" t="inlineStr">
        <is>
          <t>Factor (columna I)</t>
        </is>
      </c>
      <c r="B21" s="29" t="inlineStr">
        <is>
          <t>Cuantas veces mas a menudo se mide en alarma que en normal.</t>
        </is>
      </c>
    </row>
    <row r="23" ht="32" customHeight="1">
      <c r="A23" s="30" t="inlineStr">
        <is>
          <t>EJEMPLO: la fila del CO2</t>
        </is>
      </c>
      <c r="B23" s="31" t="inlineStr">
        <is>
          <t>Pone ticks = 90. Entonces: 90 despertares x 18.8 s = 1692 s, que son 28.2 minutos entre una medida de CO2 y la siguiente. Y 3600 / 1692 = 2.13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28" t="inlineStr">
        <is>
          <t>Placa</t>
        </is>
      </c>
      <c r="B3" s="29" t="inlineStr">
        <is>
          <t>Modulo C nodo 3 (C3), MAC 28:84:85:6F:82:88. Fecha 2026-10-06.</t>
        </is>
      </c>
    </row>
    <row r="4" ht="48" customHeight="1">
      <c r="A4" s="28" t="inlineStr">
        <is>
          <t>t activo por sensor</t>
        </is>
      </c>
      <c r="B4" s="29"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28" t="inlineStr">
        <is>
          <t>Tick real</t>
        </is>
      </c>
      <c r="B5" s="29" t="inlineStr">
        <is>
          <t>Intervalos entre tramas STAT consecutivas de C3 en el log de Modulo B, divididos por el numero de despertares que declara el propio STAT. 37 intervalos en dos capturas independientes: 17.8 s y 18.1 s. Remedido a 18.8 s el 2026-10-08, al entrar el CO en el centinela.</t>
        </is>
      </c>
    </row>
    <row r="6" ht="48" customHeight="1">
      <c r="A6" s="28" t="inlineStr">
        <is>
          <t>Periodos normales</t>
        </is>
      </c>
      <c r="B6" s="29" t="inlineStr">
        <is>
          <t>Numero de ticks de cada contador (SENSOR_READ=3, BURST=90, LORA_TRANS=4) multiplicado por el tick real de 18.8 s. NO por los 10 s nominales.</t>
        </is>
      </c>
    </row>
    <row r="7" ht="48" customHeight="1">
      <c r="A7" s="28" t="inlineStr">
        <is>
          <t>Modo alarma</t>
        </is>
      </c>
      <c r="B7" s="29" t="inlineStr">
        <is>
          <t>Entorno medir-alarma (FORCE_ALARM_STATE=2). El nodo no duerme y repite el burst completo. Periodo medido entre bursts consecutivos: 24.9 s (11 bursts, 2026-10-07, con TX_KEEP_5V_RAIL).</t>
        </is>
      </c>
    </row>
    <row r="8" ht="48" customHeight="1">
      <c r="A8" s="28" t="inlineStr">
        <is>
          <t>Envio B -&gt; Modulo A</t>
        </is>
      </c>
      <c r="B8" s="29" t="inlineStr">
        <is>
          <t>Intervalos entre publicaciones AT+QMTPUB a v1/gateway/telemetry en 9 capturas de Modulo B del 5 y 6 de octubre. Se descartan los huecos &lt;5 s (publicaciones consecutivas del mismo evento) y &gt;600 s (reconexiones). n=138.</t>
        </is>
      </c>
    </row>
    <row r="9" ht="48" customHeight="1">
      <c r="A9" s="28" t="inlineStr">
        <is>
          <t>Lo que NO se ha medido aqui</t>
        </is>
      </c>
      <c r="B9" s="29"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28" t="inlineStr">
        <is>
          <t>Avisos</t>
        </is>
      </c>
      <c r="B10" s="29" t="inlineStr">
        <is>
          <t>La hoja no incluye el ESP32-S3 (35 mA despierto, 0.026 mA dormido) ni la radio RYLR998 (50 mA en RX, 151 mA de pico en TX). A 47% de duty solo el ESP son ~16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2026-10-08T09:58:56Z</dcterms:created>
  <dcterms:modified xsi:type="dcterms:W3CDTF">2026-10-08T09:58:56Z</dcterms:modified>
</cp:coreProperties>
</file>