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mpieza aqui" sheetId="1" state="visible" r:id="rId1"/>
    <sheet name="Resumen" sheetId="2" state="visible" r:id="rId2"/>
    <sheet name="Tiempos por sensor" sheetId="3" state="visible" r:id="rId3"/>
    <sheet name="Periodos y mediciones" sheetId="4" state="visible" r:id="rId4"/>
    <sheet name="Que cuesta un despertar" sheetId="5" state="visible" r:id="rId5"/>
    <sheet name="Metodo" sheetId="6" state="visible" r:id="rId6"/>
  </sheets>
  <definedNames/>
  <calcPr calcId="124519" fullCalcOnLoad="1"/>
</workbook>
</file>

<file path=xl/styles.xml><?xml version="1.0" encoding="utf-8"?>
<styleSheet xmlns="http://schemas.openxmlformats.org/spreadsheetml/2006/main">
  <numFmts count="5">
    <numFmt numFmtId="164" formatCode="0.000"/>
    <numFmt numFmtId="165" formatCode="0.00&quot;x&quot;"/>
    <numFmt numFmtId="166" formatCode="0.0"/>
    <numFmt numFmtId="167" formatCode="0.0&quot;x&quot;"/>
    <numFmt numFmtId="168" formatCode="0.0%"/>
  </numFmts>
  <fonts count="9">
    <font>
      <name val="Calibri"/>
      <family val="2"/>
      <color theme="1"/>
      <sz val="11"/>
      <scheme val="minor"/>
    </font>
    <font>
      <name val="Arial"/>
      <b val="1"/>
      <sz val="14"/>
    </font>
    <font>
      <name val="Arial"/>
      <i val="1"/>
      <sz val="10"/>
    </font>
    <font>
      <name val="Arial"/>
      <b val="1"/>
      <sz val="11"/>
    </font>
    <font>
      <name val="Arial"/>
      <b val="1"/>
      <sz val="10"/>
    </font>
    <font>
      <name val="Arial"/>
      <sz val="10"/>
    </font>
    <font>
      <name val="Arial"/>
      <b val="1"/>
      <sz val="13"/>
    </font>
    <font>
      <name val="Arial"/>
      <color rgb="000000FF"/>
      <sz val="10"/>
    </font>
    <font>
      <name val="Arial"/>
      <b val="1"/>
      <color rgb="00CC0000"/>
      <sz val="10"/>
    </font>
  </fonts>
  <fills count="4">
    <fill>
      <patternFill/>
    </fill>
    <fill>
      <patternFill patternType="gray125"/>
    </fill>
    <fill>
      <patternFill patternType="solid">
        <fgColor rgb="00D9D9D9"/>
      </patternFill>
    </fill>
    <fill>
      <patternFill patternType="solid">
        <fgColor rgb="00FFFF00"/>
      </patternFill>
    </fill>
  </fills>
  <borders count="1">
    <border>
      <left/>
      <right/>
      <top/>
      <bottom/>
      <diagonal/>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pivotButton="0" quotePrefix="0" xfId="0"/>
    <xf numFmtId="0" fontId="0" fillId="2"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2" borderId="0" applyAlignment="1" pivotButton="0" quotePrefix="0" xfId="0">
      <alignment vertical="top" wrapText="1"/>
    </xf>
    <xf numFmtId="0" fontId="4" fillId="0" borderId="0" pivotButton="0" quotePrefix="0" xfId="0"/>
    <xf numFmtId="0" fontId="5" fillId="0" borderId="0" pivotButton="0" quotePrefix="0" xfId="0"/>
    <xf numFmtId="164" fontId="5" fillId="0" borderId="0" pivotButton="0" quotePrefix="0" xfId="0"/>
    <xf numFmtId="164" fontId="7" fillId="0" borderId="0" pivotButton="0" quotePrefix="0" xfId="0"/>
    <xf numFmtId="0" fontId="7" fillId="0" borderId="0" pivotButton="0" quotePrefix="0" xfId="0"/>
    <xf numFmtId="165" fontId="0" fillId="0" borderId="0" pivotButton="0" quotePrefix="0" xfId="0"/>
    <xf numFmtId="0" fontId="2" fillId="0" borderId="0" pivotButton="0" quotePrefix="0" xfId="0"/>
    <xf numFmtId="164" fontId="4" fillId="0" borderId="0" pivotButton="0" quotePrefix="0" xfId="0"/>
    <xf numFmtId="0" fontId="5" fillId="3" borderId="0" pivotButton="0" quotePrefix="0" xfId="0"/>
    <xf numFmtId="166" fontId="0" fillId="0" borderId="0" pivotButton="0" quotePrefix="0" xfId="0"/>
    <xf numFmtId="167" fontId="0" fillId="0" borderId="0" pivotButton="0" quotePrefix="0" xfId="0"/>
    <xf numFmtId="1" fontId="0" fillId="0" borderId="0" pivotButton="0" quotePrefix="0" xfId="0"/>
    <xf numFmtId="166" fontId="7" fillId="0" borderId="0" pivotButton="0" quotePrefix="0" xfId="0"/>
    <xf numFmtId="9" fontId="0" fillId="0" borderId="0" pivotButton="0" quotePrefix="0" xfId="0"/>
    <xf numFmtId="0" fontId="4" fillId="2" borderId="0" pivotButton="0" quotePrefix="0" xfId="0"/>
    <xf numFmtId="168" fontId="7" fillId="0" borderId="0" pivotButton="0" quotePrefix="0" xfId="0"/>
    <xf numFmtId="168" fontId="8" fillId="0" borderId="0" pivotButton="0" quotePrefix="0" xfId="0"/>
    <xf numFmtId="1" fontId="7" fillId="0" borderId="0" pivotButton="0" quotePrefix="0" xfId="0"/>
    <xf numFmtId="168" fontId="0" fillId="0" borderId="0" pivotButton="0" quotePrefix="0" xfId="0"/>
    <xf numFmtId="0" fontId="8"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4" customWidth="1" min="1" max="1"/>
    <col width="104" customWidth="1" min="2" max="2"/>
  </cols>
  <sheetData>
    <row r="1">
      <c r="A1" s="1" t="inlineStr">
        <is>
          <t>Módulo C: qué mide, cada cuánto, y por qué</t>
        </is>
      </c>
    </row>
    <row r="2">
      <c r="A2" s="2" t="inlineStr">
        <is>
          <t>Esta hoja explica las otras. Si es la primera vez que ves este libro, léela entera: son cinco minutos y sin ella los números no significan nada.</t>
        </is>
      </c>
    </row>
    <row r="4">
      <c r="A4" s="3" t="inlineStr">
        <is>
          <t>QUÉ ES EL MÓDULO C</t>
        </is>
      </c>
      <c r="B4" s="4" t="inlineStr"/>
    </row>
    <row r="5" ht="39" customHeight="1">
      <c r="A5" s="5" t="inlineStr">
        <is>
          <t>En una frase</t>
        </is>
      </c>
      <c r="B5" s="6" t="inlineStr">
        <is>
          <t>Es una caja con cinco sensores que se deja en el monte para detectar un incendio antes de que sea grande. Mide temperatura, humedad, presión, gases, humo, CO2, monóxido de carbono y viento, y manda los datos por radio.</t>
        </is>
      </c>
    </row>
    <row r="6" ht="26" customHeight="1">
      <c r="A6" s="5" t="inlineStr">
        <is>
          <t>Funciona con batería</t>
        </is>
      </c>
      <c r="B6" s="6" t="inlineStr">
        <is>
          <t>No hay enchufe en el monte, así que el aparato pasa la mayor parte del tiempo dormido y solo se despierta cuando le toca medir algo.</t>
        </is>
      </c>
    </row>
    <row r="7" ht="26" customHeight="1">
      <c r="A7" s="5" t="inlineStr">
        <is>
          <t>Los cinco sensores</t>
        </is>
      </c>
      <c r="B7" s="6" t="inlineStr">
        <is>
          <t>BME690: temperatura, humedad, presión y gases.   BMV080: partículas, o sea humo.   CM1106: CO2.   SEN0466: monóxido de carbono.   Calypso: viento.</t>
        </is>
      </c>
    </row>
    <row r="9">
      <c r="A9" s="3" t="inlineStr">
        <is>
          <t>LO QUE CAMBIÓ RESPECTO AL LIBRO ANTERIOR</t>
        </is>
      </c>
      <c r="B9" s="4" t="inlineStr"/>
    </row>
    <row r="10" ht="52" customHeight="1">
      <c r="A10" s="5" t="inlineStr">
        <is>
          <t>Antes se contaba en "ticks"</t>
        </is>
      </c>
      <c r="B10" s="6" t="inlineStr">
        <is>
          <t>El aparato dormía una cantidad fija y hacía las cosas "cada N despertares". El problema era que un despertar no duraba lo que decía el programa: dormía 10 segundos MÁS lo que tardara en medir, así que duraba 18,8 s en realidad. Todos los periodos salían casi al doble de lo configurado, y ninguna constante podía acertar porque el despertar no duraba siempre lo mismo.</t>
        </is>
      </c>
    </row>
    <row r="11" ht="39" customHeight="1">
      <c r="A11" s="5" t="inlineStr">
        <is>
          <t>Ahora se cuenta en MINUTOS REALES</t>
        </is>
      </c>
      <c r="B11" s="6" t="inlineStr">
        <is>
          <t>Cada sensor tiene su propio periodo en minutos y el aparato calcula cuánto le queda hasta el siguiente, descontando lo que ha tardado en trabajar. Si pone 5 minutos, son 5 minutos. Medido: 300,3 segundos entre despertares.</t>
        </is>
      </c>
    </row>
    <row r="12" ht="39" customHeight="1">
      <c r="A12" s="5" t="inlineStr">
        <is>
          <t>Y el aparato ya tiene hora</t>
        </is>
      </c>
      <c r="B12" s="6" t="inlineStr">
        <is>
          <t>Módulo B le manda la hora de la red en cada conversación. Con eso las medidas caen en minutos redondos del reloj — :00, :05, :10 — así que LOS TRES NODOS MIDEN A LA VEZ y sus datos se pueden comparar entre sí.</t>
        </is>
      </c>
    </row>
    <row r="13" ht="26" customHeight="1">
      <c r="A13" s="5" t="inlineStr">
        <is>
          <t>Ya no hay "centinela" y "burst"</t>
        </is>
      </c>
      <c r="B13" s="6" t="inlineStr">
        <is>
          <t>Esa división existía para repartir el coste entre despertares. Con un periodo propio por sensor no hace falta: el BME690 cada 5 minutos y el CM1106 cada 30 dicen lo mismo, directamente.</t>
        </is>
      </c>
    </row>
    <row r="15">
      <c r="A15" s="3" t="inlineStr">
        <is>
          <t>LOS TRES ESTADOS</t>
        </is>
      </c>
      <c r="B15" s="4" t="inlineStr"/>
    </row>
    <row r="16" ht="15" customHeight="1">
      <c r="A16" s="5" t="inlineStr">
        <is>
          <t>NORMAL</t>
        </is>
      </c>
      <c r="B16" s="6" t="inlineStr">
        <is>
          <t>Lo habitual. Duerme entre medida y medida. Temperatura cada 5 minutos, humo y CO2 cada 30.</t>
        </is>
      </c>
    </row>
    <row r="17" ht="26" customHeight="1">
      <c r="A17" s="5" t="inlineStr">
        <is>
          <t>PRE-ALARMA</t>
        </is>
      </c>
      <c r="B17" s="6" t="inlineStr">
        <is>
          <t>Algún sensor cruzó su umbral. DEJA DE DORMIR y acelera: temperatura cada 3 minutos, humo cada 10. Tiene 10 minutos para confirmar o volver a la normalidad.</t>
        </is>
      </c>
    </row>
    <row r="18" ht="39" customHeight="1">
      <c r="A18" s="5" t="inlineStr">
        <is>
          <t>ALARMA</t>
        </is>
      </c>
      <c r="B18" s="6" t="inlineStr">
        <is>
          <t>Confirmado. Temperatura cada minuto y envío cada 3. YA NO ES IGUAL QUE LA PRE-ALARMA: en el libro anterior los dos estados compartían tiempos porque compartían código; ahora cada uno tiene su columna.</t>
        </is>
      </c>
    </row>
    <row r="19" ht="26" customHeight="1">
      <c r="A19" s="5" t="inlineStr">
        <is>
          <t>El CO2 es la excepción</t>
        </is>
      </c>
      <c r="B19" s="6" t="inlineStr">
        <is>
          <t>Se queda en 30 minutos en los TRES estados. Es deliberado: el CM1106 es el sensor menos fiable que hay en la caja y machacarlo no aporta nada.</t>
        </is>
      </c>
    </row>
    <row r="21">
      <c r="A21" s="3" t="inlineStr">
        <is>
          <t>CÓMO LEER CADA HOJA</t>
        </is>
      </c>
      <c r="B21" s="4" t="inlineStr"/>
    </row>
    <row r="22" ht="26" customHeight="1">
      <c r="A22" s="5" t="inlineStr">
        <is>
          <t>Tiempos por sensor</t>
        </is>
      </c>
      <c r="B22" s="6" t="inlineStr">
        <is>
          <t>Cuánto tarda cada sensor en dar su medida, medido sobre la placa. Son los tiempos del sensor en sí, no incluyen las esperas entre uno y otro.</t>
        </is>
      </c>
    </row>
    <row r="23" ht="39" customHeight="1">
      <c r="A23" s="5" t="inlineStr">
        <is>
          <t>Por qué hay esperas</t>
        </is>
      </c>
      <c r="B23" s="6" t="inlineStr">
        <is>
          <t>Los sensores NO PUEDEN FUNCIONAR A LA VEZ: el consumo de dos a la vez hunde la alimentación y la placa se reinicia. Se comprobó: 31 reinicios en paralelo contra 2 en serie. Por eso se leen en fila, con una pausa entre cada dos.</t>
        </is>
      </c>
    </row>
    <row r="24" ht="26" customHeight="1">
      <c r="A24" s="5" t="inlineStr">
        <is>
          <t>Periodos y mediciones</t>
        </is>
      </c>
      <c r="B24" s="6" t="inlineStr">
        <is>
          <t>Cada cuánto mide cada sensor en cada estado, y cuántas medidas salen por hora. Es la especificación que pediste, con las cuentas hechas.</t>
        </is>
      </c>
    </row>
    <row r="25" ht="39" customHeight="1">
      <c r="A25" s="5" t="inlineStr">
        <is>
          <t>Qué cuesta un despertar</t>
        </is>
      </c>
      <c r="B25" s="6" t="inlineStr">
        <is>
          <t>La hoja nueva de este libro. El aparato ya no hace siempre lo mismo al despertar: depende de cuántos sensores venzan en ese instante. Un despertar de solo temperatura cuesta 1,5 segundos; uno que vence todo, 19,6.</t>
        </is>
      </c>
    </row>
    <row r="26" ht="15" customHeight="1">
      <c r="A26" s="5" t="inlineStr">
        <is>
          <t>Resumen</t>
        </is>
      </c>
      <c r="B26" s="6" t="inlineStr">
        <is>
          <t>Las cifras que más cambian respecto al libro anterior.</t>
        </is>
      </c>
    </row>
    <row r="27" ht="15" customHeight="1">
      <c r="A27" s="5" t="inlineStr">
        <is>
          <t>Método</t>
        </is>
      </c>
      <c r="B27" s="6" t="inlineStr">
        <is>
          <t>De dónde sale cada número, para que cualquiera pueda repetirlo.</t>
        </is>
      </c>
    </row>
    <row r="28" ht="26" customHeight="1">
      <c r="A28" s="5" t="inlineStr">
        <is>
          <t>Los colores</t>
        </is>
      </c>
      <c r="B28" s="6" t="inlineStr">
        <is>
          <t>AZUL = medido sobre la placa, dato duro.   NEGRO = calculado con una fórmula a partir de los azules.   AMARILLO = constante de configuración que se puede cambiar.</t>
        </is>
      </c>
    </row>
    <row r="30">
      <c r="A30" s="3" t="inlineStr">
        <is>
          <t>EN UNA LÍNEA</t>
        </is>
      </c>
      <c r="B30" s="4" t="inlineStr"/>
    </row>
    <row r="31" ht="39" customHeight="1">
      <c r="B31" s="6" t="inlineStr">
        <is>
          <t>El aparato duerme y se despierta solo cuando a algún sensor le toca medir. La temperatura cada 5 minutos, el humo y el CO2 cada 30, y todo alineado al reloj para que los tres nodos midan en el mismo instante. Si algo cruza un umbral deja de dormir y acelera.</t>
        </is>
      </c>
    </row>
  </sheetData>
  <mergeCells count="1">
    <mergeCell ref="A2:B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30" customWidth="1" min="1" max="1"/>
    <col width="20" customWidth="1" min="2" max="2"/>
    <col width="20" customWidth="1" min="3" max="3"/>
    <col width="12" customWidth="1" min="4" max="4"/>
    <col width="62" customWidth="1" min="5" max="5"/>
  </cols>
  <sheetData>
    <row r="1">
      <c r="A1" s="7" t="inlineStr">
        <is>
          <t>Lo que más cambia respecto al libro anterior</t>
        </is>
      </c>
    </row>
    <row r="2" ht="32" customHeight="1">
      <c r="A2" s="2" t="inlineStr">
        <is>
          <t>El libro v2 describía el planificador por ticks. Este describe el de tiempo real, que lo sustituyó el 2026-10-09. No son ajustes: cambió la unidad en la que el aparato cuenta.</t>
        </is>
      </c>
    </row>
    <row r="4">
      <c r="A4" s="23" t="inlineStr">
        <is>
          <t>Concepto</t>
        </is>
      </c>
      <c r="B4" s="23" t="inlineStr">
        <is>
          <t>Antes (v2)</t>
        </is>
      </c>
      <c r="C4" s="23" t="inlineStr">
        <is>
          <t>Ahora (v3)</t>
        </is>
      </c>
      <c r="D4" s="23" t="inlineStr">
        <is>
          <t>Cambio</t>
        </is>
      </c>
      <c r="E4" s="23" t="inlineStr">
        <is>
          <t>Por qué importa</t>
        </is>
      </c>
    </row>
    <row r="5" ht="26" customHeight="1">
      <c r="A5" s="9" t="inlineStr">
        <is>
          <t>Unidad de tiempo</t>
        </is>
      </c>
      <c r="B5" s="10" t="inlineStr">
        <is>
          <t>tick de 18,8 s</t>
        </is>
      </c>
      <c r="C5" s="13" t="inlineStr">
        <is>
          <t>minutos reales</t>
        </is>
      </c>
      <c r="E5" s="6" t="inlineStr">
        <is>
          <t>Un tick duraba lo que durmiera MÁS lo que tardara en medir, así que variaba. Ninguna constante podía acertar.</t>
        </is>
      </c>
    </row>
    <row r="6" ht="26" customHeight="1">
      <c r="A6" s="9" t="inlineStr">
        <is>
          <t>Error de la cadencia</t>
        </is>
      </c>
      <c r="B6" s="10" t="inlineStr">
        <is>
          <t>88%</t>
        </is>
      </c>
      <c r="C6" s="13" t="inlineStr">
        <is>
          <t>0,1%</t>
        </is>
      </c>
      <c r="E6" s="6" t="inlineStr">
        <is>
          <t>Lo configurado era 10 s y lo real 18,8. Ahora 300 s configurados dan 300,3 medidos.</t>
        </is>
      </c>
    </row>
    <row r="7" ht="26" customHeight="1">
      <c r="A7" s="9" t="inlineStr">
        <is>
          <t>Temperatura, periodo</t>
        </is>
      </c>
      <c r="B7" s="10" t="inlineStr">
        <is>
          <t>56 s</t>
        </is>
      </c>
      <c r="C7" s="13" t="inlineStr">
        <is>
          <t>5 min</t>
        </is>
      </c>
      <c r="E7" s="6" t="inlineStr">
        <is>
          <t>Era un "centinela" cada 3 ticks. Ahora es un número en minutos que se lee tal cual.</t>
        </is>
      </c>
    </row>
    <row r="8" ht="26" customHeight="1">
      <c r="A8" s="9" t="inlineStr">
        <is>
          <t>Lectura completa</t>
        </is>
      </c>
      <c r="B8" s="10" t="inlineStr">
        <is>
          <t>28,2 min</t>
        </is>
      </c>
      <c r="C8" s="13" t="inlineStr">
        <is>
          <t>30 min (CO2 y humo)</t>
        </is>
      </c>
      <c r="E8" s="6" t="inlineStr">
        <is>
          <t>Antes todo lo caro iba junto en un "burst". Ahora cada sensor lleva su periodo.</t>
        </is>
      </c>
    </row>
    <row r="9" ht="26" customHeight="1">
      <c r="A9" s="9" t="inlineStr">
        <is>
          <t>Pre-alarma vs alarma</t>
        </is>
      </c>
      <c r="B9" s="10" t="inlineStr">
        <is>
          <t>idénticas</t>
        </is>
      </c>
      <c r="C9" s="13" t="inlineStr">
        <is>
          <t>distintas</t>
        </is>
      </c>
      <c r="E9" s="6" t="inlineStr">
        <is>
          <t>Compartían código, así que compartían tiempos. Ahora cada estado tiene su columna.</t>
        </is>
      </c>
    </row>
    <row r="10" ht="39" customHeight="1">
      <c r="A10" s="9" t="inlineStr">
        <is>
          <t>Despierto por despertar</t>
        </is>
      </c>
      <c r="B10" s="10" t="inlineStr">
        <is>
          <t>17,5 s</t>
        </is>
      </c>
      <c r="C10" s="13" t="inlineStr">
        <is>
          <t>8,9 s</t>
        </is>
      </c>
      <c r="E10" s="6" t="inlineStr">
        <is>
          <t>Solo arranca los sensores que va a leer. Y lo que importaba no era la batería, sino que la medida llegaba 15 s tarde.</t>
        </is>
      </c>
    </row>
    <row r="11" ht="26" customHeight="1">
      <c r="A11" s="9" t="inlineStr">
        <is>
          <t>Almacén de lecturas</t>
        </is>
      </c>
      <c r="B11" s="10" t="inlineStr">
        <is>
          <t>4</t>
        </is>
      </c>
      <c r="C11" s="13" t="inlineStr">
        <is>
          <t>8</t>
        </is>
      </c>
      <c r="E11" s="6" t="inlineStr">
        <is>
          <t>Con 4 se perdían 2 de cada 6 en estado normal. Se vio en el log antes de que nadie lo notara en los datos.</t>
        </is>
      </c>
    </row>
    <row r="12" ht="26" customHeight="1">
      <c r="A12" s="9" t="inlineStr">
        <is>
          <t>Campos no medidos</t>
        </is>
      </c>
      <c r="B12" s="10" t="inlineStr">
        <is>
          <t>repetía el valor viejo</t>
        </is>
      </c>
      <c r="C12" s="13" t="inlineStr">
        <is>
          <t>no se publican</t>
        </is>
      </c>
      <c r="E12" s="6" t="inlineStr">
        <is>
          <t>Un CO2 de hace media hora se publicaba como si fuera de ahora. Era indistinguible de "el CO2 no se ha movido".</t>
        </is>
      </c>
    </row>
    <row r="13" ht="39" customHeight="1">
      <c r="A13" s="9" t="inlineStr">
        <is>
          <t>Fecha de cada lectura</t>
        </is>
      </c>
      <c r="B13" s="10" t="inlineStr">
        <is>
          <t>error de 30x</t>
        </is>
      </c>
      <c r="C13" s="13" t="inlineStr">
        <is>
          <t>segundos reales</t>
        </is>
      </c>
      <c r="E13" s="6" t="inlineStr">
        <is>
          <t>Se mandaba la edad en número de despertares y se multiplicaba por 10 s. Con despertares de 5 min el histórico quedaba comprimido 30 veces.</t>
        </is>
      </c>
    </row>
  </sheetData>
  <mergeCells count="1">
    <mergeCell ref="A2:E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8"/>
  <sheetViews>
    <sheetView workbookViewId="0">
      <selection activeCell="A1" sqref="A1"/>
    </sheetView>
  </sheetViews>
  <sheetFormatPr baseColWidth="8" defaultRowHeight="15"/>
  <cols>
    <col width="26" customWidth="1" min="1" max="1"/>
    <col width="24" customWidth="1" min="2" max="2"/>
    <col width="11" customWidth="1" min="3" max="3"/>
    <col width="11" customWidth="1" min="4" max="4"/>
    <col width="6" customWidth="1" min="5" max="5"/>
    <col width="14" customWidth="1" min="6" max="6"/>
    <col width="10" customWidth="1" min="7" max="7"/>
    <col width="62" customWidth="1" min="8" max="8"/>
    <col width="11" customWidth="1" min="9" max="9"/>
    <col width="5" customWidth="1" min="10" max="10"/>
    <col width="15" customWidth="1" min="11" max="11"/>
    <col width="11" customWidth="1" min="12" max="12"/>
  </cols>
  <sheetData>
    <row r="1">
      <c r="A1" s="7" t="inlineStr">
        <is>
          <t>Cuánto tarda cada sensor en dar su medida</t>
        </is>
      </c>
    </row>
    <row r="2" ht="30" customHeight="1">
      <c r="A2" s="2" t="inlineStr">
        <is>
          <t>MEDICION LIMPIA: 75 minutos seguidos sobre el firmware definitivo, sin reflashear ni tocar la placa durante la captura. Los valores del libro anterior venian de logs recogidos entre versiones distintas del firmware; estos no.</t>
        </is>
      </c>
    </row>
    <row r="4" ht="30" customHeight="1">
      <c r="A4" s="8" t="inlineStr">
        <is>
          <t>Sensor</t>
        </is>
      </c>
      <c r="B4" s="8" t="inlineStr">
        <is>
          <t>Qué mide</t>
        </is>
      </c>
      <c r="C4" s="8" t="inlineStr">
        <is>
          <t>Medido v2
(s)</t>
        </is>
      </c>
      <c r="D4" s="8" t="inlineStr">
        <is>
          <t>Medido v3
(s)</t>
        </is>
      </c>
      <c r="E4" s="8" t="inlineStr">
        <is>
          <t>n</t>
        </is>
      </c>
      <c r="F4" s="8" t="inlineStr">
        <is>
          <t>Rango
(s)</t>
        </is>
      </c>
      <c r="G4" s="8" t="inlineStr">
        <is>
          <t>Cambio</t>
        </is>
      </c>
      <c r="H4" s="8" t="inlineStr">
        <is>
          <t>Nota</t>
        </is>
      </c>
      <c r="I4" s="8" t="inlineStr">
        <is>
          <t>LIMPIA
(s)</t>
        </is>
      </c>
      <c r="J4" s="8" t="inlineStr">
        <is>
          <t>n</t>
        </is>
      </c>
      <c r="K4" s="8" t="inlineStr">
        <is>
          <t>Rango limpio
(s)</t>
        </is>
      </c>
      <c r="L4" s="8" t="inlineStr">
        <is>
          <t>Dispersión</t>
        </is>
      </c>
    </row>
    <row r="5" ht="26" customHeight="1">
      <c r="A5" s="9" t="inlineStr">
        <is>
          <t>BME690 — T/H/P</t>
        </is>
      </c>
      <c r="B5" s="10" t="inlineStr">
        <is>
          <t>temperatura, humedad, presión</t>
        </is>
      </c>
      <c r="C5" s="11" t="n">
        <v>0.037</v>
      </c>
      <c r="D5" s="12" t="n">
        <v>0.04</v>
      </c>
      <c r="E5" s="13" t="n">
        <v>44</v>
      </c>
      <c r="F5" s="13" t="inlineStr">
        <is>
          <t>0,040 – 0,040</t>
        </is>
      </c>
      <c r="G5" s="14">
        <f>IF(C5=0,"",D5/C5)</f>
        <v/>
      </c>
      <c r="H5" s="6" t="inlineStr">
        <is>
          <t>Lectura rápida, con el calefactor APAGADO. Idéntica en 44 medidas: no varía nada.</t>
        </is>
      </c>
      <c r="I5" s="12" t="n">
        <v>0.039</v>
      </c>
      <c r="J5" s="13" t="n">
        <v>15</v>
      </c>
      <c r="K5" s="13" t="inlineStr">
        <is>
          <t>0,039 – 0,039</t>
        </is>
      </c>
      <c r="L5" s="24" t="n">
        <v>0</v>
      </c>
    </row>
    <row r="6" ht="39" customHeight="1">
      <c r="A6" s="9" t="inlineStr">
        <is>
          <t>BME690 — VOC</t>
        </is>
      </c>
      <c r="B6" s="10" t="inlineStr">
        <is>
          <t>resistencia de gas</t>
        </is>
      </c>
      <c r="C6" s="15" t="inlineStr">
        <is>
          <t>no medido</t>
        </is>
      </c>
      <c r="D6" s="12" t="n">
        <v>0.188</v>
      </c>
      <c r="E6" s="13" t="n">
        <v>15</v>
      </c>
      <c r="F6" s="13" t="inlineStr">
        <is>
          <t>0,188 – 0,188</t>
        </is>
      </c>
      <c r="H6" s="6" t="inlineStr">
        <is>
          <t>Lectura completa, calefactor a 320 °C. En el libro anterior no existía por separado: era parte del "burst". La hoja original decía 10,8 s; son 0,188.</t>
        </is>
      </c>
      <c r="I6" s="12" t="n">
        <v>0.188</v>
      </c>
      <c r="J6" s="13" t="n">
        <v>2</v>
      </c>
      <c r="K6" s="13" t="inlineStr">
        <is>
          <t>0,188 – 0,188</t>
        </is>
      </c>
      <c r="L6" s="24" t="n">
        <v>0</v>
      </c>
    </row>
    <row r="7" ht="39" customHeight="1">
      <c r="A7" s="9" t="inlineStr">
        <is>
          <t>CM1106</t>
        </is>
      </c>
      <c r="B7" s="10" t="inlineStr">
        <is>
          <t>CO2</t>
        </is>
      </c>
      <c r="C7" s="11" t="n">
        <v>3.513</v>
      </c>
      <c r="D7" s="12" t="n">
        <v>3.513</v>
      </c>
      <c r="E7" s="13" t="n">
        <v>14</v>
      </c>
      <c r="F7" s="13" t="inlineStr">
        <is>
          <t>3,512 – 3,513</t>
        </is>
      </c>
      <c r="G7" s="14">
        <f>IF(C7=0,"",D7/C7)</f>
        <v/>
      </c>
      <c r="H7" s="6" t="inlineStr">
        <is>
          <t>Sin cambio, y clavado. Incluye el ciclo de alimentación y el calentamiento: es un sensor de disparo único que mide al arrancar.</t>
        </is>
      </c>
      <c r="I7" s="12" t="n">
        <v>3.513</v>
      </c>
      <c r="J7" s="13" t="n">
        <v>3</v>
      </c>
      <c r="K7" s="13" t="inlineStr">
        <is>
          <t>3,513 – 3,513</t>
        </is>
      </c>
      <c r="L7" s="24" t="n">
        <v>0</v>
      </c>
    </row>
    <row r="8" ht="26" customHeight="1">
      <c r="A8" s="9" t="inlineStr">
        <is>
          <t>BMV080</t>
        </is>
      </c>
      <c r="B8" s="10" t="inlineStr">
        <is>
          <t>partículas (humo)</t>
        </is>
      </c>
      <c r="C8" s="11" t="n">
        <v>2.135</v>
      </c>
      <c r="D8" s="12" t="n">
        <v>2.115</v>
      </c>
      <c r="E8" s="13" t="n">
        <v>14</v>
      </c>
      <c r="F8" s="13" t="inlineStr">
        <is>
          <t>2,115 – 2,133</t>
        </is>
      </c>
      <c r="G8" s="14">
        <f>IF(C8=0,"",D8/C8)</f>
        <v/>
      </c>
      <c r="H8" s="6" t="inlineStr">
        <is>
          <t>El láser. Su arranque de 5 s ya NO se paga en cada despertar: solo cuando le toca medir.</t>
        </is>
      </c>
      <c r="I8" s="12" t="n">
        <v>2.114</v>
      </c>
      <c r="J8" s="13" t="n">
        <v>3</v>
      </c>
      <c r="K8" s="13" t="inlineStr">
        <is>
          <t>2,114 – 2,133</t>
        </is>
      </c>
      <c r="L8" s="24" t="n">
        <v>0.009000000000000001</v>
      </c>
    </row>
    <row r="9" ht="39" customHeight="1">
      <c r="A9" s="9" t="inlineStr">
        <is>
          <t>SEN0466</t>
        </is>
      </c>
      <c r="B9" s="10" t="inlineStr">
        <is>
          <t>monóxido de carbono</t>
        </is>
      </c>
      <c r="C9" s="11" t="n">
        <v>0.024</v>
      </c>
      <c r="D9" s="12" t="n">
        <v>0.024</v>
      </c>
      <c r="E9" s="13" t="n">
        <v>15</v>
      </c>
      <c r="F9" s="13" t="inlineStr">
        <is>
          <t>0,024 – 0,025</t>
        </is>
      </c>
      <c r="G9" s="14">
        <f>IF(C9=0,"",D9/C9)</f>
        <v/>
      </c>
      <c r="H9" s="6" t="inlineStr">
        <is>
          <t>Va cableado directo a corriente, siempre caliente. Sus 210 s de estabilización se pagan una vez al energizar la placa, no por lectura.</t>
        </is>
      </c>
      <c r="I9" s="12" t="n">
        <v>0.024</v>
      </c>
      <c r="J9" s="13" t="n">
        <v>3</v>
      </c>
      <c r="K9" s="13" t="inlineStr">
        <is>
          <t>0,024 – 0,024</t>
        </is>
      </c>
      <c r="L9" s="24" t="n">
        <v>0</v>
      </c>
    </row>
    <row r="10" ht="92" customHeight="1">
      <c r="A10" s="9" t="inlineStr">
        <is>
          <t>Calypso</t>
        </is>
      </c>
      <c r="B10" s="10" t="inlineStr">
        <is>
          <t>viento: ángulo y velocidad</t>
        </is>
      </c>
      <c r="C10" s="11" t="n">
        <v>0.774</v>
      </c>
      <c r="D10" s="12" t="n">
        <v>1.117</v>
      </c>
      <c r="E10" s="13" t="n">
        <v>21</v>
      </c>
      <c r="F10" s="13" t="inlineStr">
        <is>
          <t>0,061 – 1,502</t>
        </is>
      </c>
      <c r="G10" s="14">
        <f>IF(C10=0,"",D10/C10)</f>
        <v/>
      </c>
      <c r="H10" s="28" t="inlineStr">
        <is>
          <t>CIFRA CORREGIDA el 2026-10-11, y hay que leerla con cuidado. El 1,501 s anterior era lo que tardaba en RENDIRSE sin recibir trama, no en leer: se le preguntaba 1,5 s después de encenderlo y el sensor necesita ~20 s de arranque. Dándoselos, contesta en 40-521 ms. PERO en estado normal el nodo pierde la alimentación en cada sueño, así que el slot incluye además la espera de arranque y mide ~16 s. Para el presupuesto energético cuenta ese 16, no el 0,5.</t>
        </is>
      </c>
      <c r="I10" s="12" t="n">
        <v>0.52</v>
      </c>
      <c r="J10" s="15" t="inlineStr">
        <is>
          <t>ver nota</t>
        </is>
      </c>
      <c r="K10" s="13" t="inlineStr">
        <is>
          <t>0,040 – 0,521</t>
        </is>
      </c>
      <c r="L10" s="25" t="n">
        <v>0.9329999999999999</v>
      </c>
    </row>
    <row r="11" ht="30" customHeight="1">
      <c r="A11" s="9" t="inlineStr">
        <is>
          <t>SUMA de los seis</t>
        </is>
      </c>
      <c r="D11" s="16">
        <f>SUM(D5:D10)</f>
        <v/>
      </c>
      <c r="H11" s="6" t="inlineStr">
        <is>
          <t>Solo los sensores. Un barrido completo medido dura 19,554 s, así que casi dos tercios del tiempo son las pausas obligatorias entre sensor y sensor.</t>
        </is>
      </c>
    </row>
    <row r="13">
      <c r="A13" s="9" t="inlineStr">
        <is>
          <t>CADENCIA MEDIDA EN LA CAPTURA LIMPIA</t>
        </is>
      </c>
    </row>
    <row r="14" ht="15" customHeight="1">
      <c r="A14" s="10" t="inlineStr">
        <is>
          <t>Despertares capturados</t>
        </is>
      </c>
      <c r="H14" s="6" t="inlineStr">
        <is>
          <t>En 75 minutos.</t>
        </is>
      </c>
      <c r="I14" s="26" t="n">
        <v>22</v>
      </c>
    </row>
    <row r="15" ht="39" customHeight="1">
      <c r="A15" s="10" t="inlineStr">
        <is>
          <t>Intervalo mediano (s)</t>
        </is>
      </c>
      <c r="H15" s="6" t="inlineStr">
        <is>
          <t>Entre despertares separados más de 60 s. Configurado: 300 s -&gt; 1,1% de desviación. Con el planificador por ticks era del 88%.</t>
        </is>
      </c>
      <c r="I15" s="21" t="n">
        <v>296.7</v>
      </c>
    </row>
    <row r="16" ht="26" customHeight="1">
      <c r="A16" s="10" t="inlineStr">
        <is>
          <t>Intervalo mínimo (s)</t>
        </is>
      </c>
      <c r="H16" s="6" t="inlineStr">
        <is>
          <t>No todos los huecos son el periodo de 5 min: el envío va desplazado +1 minuto y genera despertares propios.</t>
        </is>
      </c>
      <c r="I16" s="21" t="n">
        <v>238.6</v>
      </c>
    </row>
    <row r="17">
      <c r="A17" s="10" t="inlineStr">
        <is>
          <t>Intervalo máximo (s)</t>
        </is>
      </c>
      <c r="I17" s="21" t="n">
        <v>302</v>
      </c>
    </row>
    <row r="18" ht="26" customHeight="1">
      <c r="A18" s="10" t="inlineStr">
        <is>
          <t>Envíos por radio</t>
        </is>
      </c>
      <c r="H18" s="6" t="inlineStr">
        <is>
          <t>Lotes de 1 a 8 lecturas. Los de 8 llenan el almacén justo, que es para lo que se dimensionó.</t>
        </is>
      </c>
      <c r="I18" s="26" t="n">
        <v>11</v>
      </c>
    </row>
  </sheetData>
  <mergeCells count="1">
    <mergeCell ref="A2:H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cols>
    <col width="24" customWidth="1" min="1" max="1"/>
    <col width="24" customWidth="1" min="2" max="2"/>
    <col width="10" customWidth="1" min="3" max="3"/>
    <col width="11" customWidth="1" min="4" max="4"/>
    <col width="10" customWidth="1" min="5" max="5"/>
    <col width="10" customWidth="1" min="6" max="6"/>
    <col width="10" customWidth="1" min="7" max="7"/>
    <col width="10" customWidth="1" min="8" max="8"/>
    <col width="11" customWidth="1" min="9" max="9"/>
    <col width="54" customWidth="1" min="10" max="10"/>
    <col width="13" customWidth="1" min="11" max="11"/>
    <col width="5" customWidth="1" min="12" max="12"/>
    <col width="9" customWidth="1" min="13" max="13"/>
    <col width="13" customWidth="1" min="14" max="14"/>
    <col width="5" customWidth="1" min="15" max="15"/>
    <col width="9" customWidth="1" min="16" max="16"/>
  </cols>
  <sheetData>
    <row r="1">
      <c r="A1" s="7" t="inlineStr">
        <is>
          <t>Cada cuánto mide cada sensor, y cuántas medidas salen por hora</t>
        </is>
      </c>
    </row>
    <row r="2" ht="32" customHeight="1">
      <c r="A2" s="2" t="inlineStr">
        <is>
          <t>Los periodos en AMARILLO son la especificación: se pueden cambiar y todo lo demás se recalcula. Las medidas por hora son 60 dividido entre el periodo. En el libro anterior esta tabla estaba en ticks y había que multiplicar por 18,8 para entenderla.</t>
        </is>
      </c>
    </row>
    <row r="4" ht="32" customHeight="1">
      <c r="A4" s="8" t="inlineStr">
        <is>
          <t>Sensor</t>
        </is>
      </c>
      <c r="B4" s="8" t="inlineStr">
        <is>
          <t>Qué mide</t>
        </is>
      </c>
      <c r="C4" s="8" t="inlineStr">
        <is>
          <t>NORMAL
(min)</t>
        </is>
      </c>
      <c r="D4" s="8" t="inlineStr">
        <is>
          <t>PRE-ALARMA
(min)</t>
        </is>
      </c>
      <c r="E4" s="8" t="inlineStr">
        <is>
          <t>ALARMA
(min)</t>
        </is>
      </c>
      <c r="F4" s="8" t="inlineStr">
        <is>
          <t>Medidas/h
NORMAL</t>
        </is>
      </c>
      <c r="G4" s="8" t="inlineStr">
        <is>
          <t>Medidas/h
PRE-AL.</t>
        </is>
      </c>
      <c r="H4" s="8" t="inlineStr">
        <is>
          <t>Medidas/h
ALARMA</t>
        </is>
      </c>
      <c r="I4" s="8" t="inlineStr">
        <is>
          <t>Aceleración
en alarma</t>
        </is>
      </c>
      <c r="J4" s="8" t="inlineStr">
        <is>
          <t>Nota</t>
        </is>
      </c>
      <c r="K4" s="8" t="inlineStr">
        <is>
          <t>MEDIDO
prealarma (s)</t>
        </is>
      </c>
      <c r="L4" s="8" t="inlineStr">
        <is>
          <t>n</t>
        </is>
      </c>
      <c r="M4" s="8" t="inlineStr">
        <is>
          <t>Error</t>
        </is>
      </c>
      <c r="N4" s="8" t="inlineStr">
        <is>
          <t>MEDIDO
alarma (s)</t>
        </is>
      </c>
      <c r="O4" s="8" t="inlineStr">
        <is>
          <t>n</t>
        </is>
      </c>
      <c r="P4" s="8" t="inlineStr">
        <is>
          <t>Error</t>
        </is>
      </c>
    </row>
    <row r="5" ht="26" customHeight="1">
      <c r="A5" s="9" t="inlineStr">
        <is>
          <t>BME690 — T/H/P</t>
        </is>
      </c>
      <c r="B5" s="10" t="inlineStr">
        <is>
          <t>temperatura, humedad, presión</t>
        </is>
      </c>
      <c r="C5" s="17" t="n">
        <v>5</v>
      </c>
      <c r="D5" s="17" t="n">
        <v>3</v>
      </c>
      <c r="E5" s="17" t="n">
        <v>1</v>
      </c>
      <c r="F5" s="18">
        <f>60/C5</f>
        <v/>
      </c>
      <c r="G5" s="18">
        <f>60/D5</f>
        <v/>
      </c>
      <c r="H5" s="18">
        <f>60/E5</f>
        <v/>
      </c>
      <c r="I5" s="19">
        <f>C5/E5</f>
        <v/>
      </c>
      <c r="J5" s="6" t="inlineStr">
        <is>
          <t>La señal que más rápido se mueve en un incendio, y la más barata de leer: 40 ms.</t>
        </is>
      </c>
      <c r="K5" s="21" t="n">
        <v>179.8</v>
      </c>
      <c r="L5" s="13" t="n">
        <v>17</v>
      </c>
      <c r="M5" s="27">
        <f>K5/(D5*60)-1</f>
        <v/>
      </c>
      <c r="N5" s="21" t="n">
        <v>59.7</v>
      </c>
      <c r="O5" s="13" t="n">
        <v>9</v>
      </c>
      <c r="P5" s="27">
        <f>N5/(E5*60)-1</f>
        <v/>
      </c>
    </row>
    <row r="6" ht="26" customHeight="1">
      <c r="A6" s="9" t="inlineStr">
        <is>
          <t>BME690 — VOC</t>
        </is>
      </c>
      <c r="B6" s="10" t="inlineStr">
        <is>
          <t>resistencia de gas</t>
        </is>
      </c>
      <c r="C6" s="17" t="n">
        <v>20</v>
      </c>
      <c r="D6" s="17" t="n">
        <v>10</v>
      </c>
      <c r="E6" s="17" t="n">
        <v>5</v>
      </c>
      <c r="F6" s="18">
        <f>60/C6</f>
        <v/>
      </c>
      <c r="G6" s="18">
        <f>60/D6</f>
        <v/>
      </c>
      <c r="H6" s="18">
        <f>60/E6</f>
        <v/>
      </c>
      <c r="I6" s="19">
        <f>C6/E6</f>
        <v/>
      </c>
      <c r="J6" s="6" t="inlineStr">
        <is>
          <t>El mismo chip, otra operación: enciende el calefactor a 320 °C.</t>
        </is>
      </c>
      <c r="K6" s="21" t="n">
        <v>600</v>
      </c>
      <c r="L6" s="13" t="n">
        <v>4</v>
      </c>
      <c r="M6" s="27">
        <f>K6/(D6*60)-1</f>
        <v/>
      </c>
      <c r="N6" s="21" t="n">
        <v>300.2</v>
      </c>
      <c r="O6" s="13" t="n">
        <v>2</v>
      </c>
      <c r="P6" s="27">
        <f>N6/(E6*60)-1</f>
        <v/>
      </c>
    </row>
    <row r="7" ht="26" customHeight="1">
      <c r="A7" s="9" t="inlineStr">
        <is>
          <t>CM1106</t>
        </is>
      </c>
      <c r="B7" s="10" t="inlineStr">
        <is>
          <t>CO2</t>
        </is>
      </c>
      <c r="C7" s="17" t="n">
        <v>30</v>
      </c>
      <c r="D7" s="17" t="n">
        <v>30</v>
      </c>
      <c r="E7" s="17" t="n">
        <v>30</v>
      </c>
      <c r="F7" s="18">
        <f>60/C7</f>
        <v/>
      </c>
      <c r="G7" s="18">
        <f>60/D7</f>
        <v/>
      </c>
      <c r="H7" s="18">
        <f>60/E7</f>
        <v/>
      </c>
      <c r="I7" s="19">
        <f>C7/E7</f>
        <v/>
      </c>
      <c r="J7" s="6" t="inlineStr">
        <is>
          <t>EL ÚNICO QUE NO SE ACELERA, a propósito. Es el sensor menos fiable de la caja.</t>
        </is>
      </c>
      <c r="K7" s="15" t="inlineStr">
        <is>
          <t>n insuficiente</t>
        </is>
      </c>
      <c r="L7" s="13" t="n">
        <v>1</v>
      </c>
      <c r="N7" s="15" t="inlineStr">
        <is>
          <t>n insuficiente</t>
        </is>
      </c>
    </row>
    <row r="8" ht="26" customHeight="1">
      <c r="A8" s="9" t="inlineStr">
        <is>
          <t>SEN0466</t>
        </is>
      </c>
      <c r="B8" s="10" t="inlineStr">
        <is>
          <t>monóxido de carbono</t>
        </is>
      </c>
      <c r="C8" s="17" t="n">
        <v>30</v>
      </c>
      <c r="D8" s="17" t="n">
        <v>10</v>
      </c>
      <c r="E8" s="17" t="n">
        <v>5</v>
      </c>
      <c r="F8" s="18">
        <f>60/C8</f>
        <v/>
      </c>
      <c r="G8" s="18">
        <f>60/D8</f>
        <v/>
      </c>
      <c r="H8" s="18">
        <f>60/E8</f>
        <v/>
      </c>
      <c r="I8" s="19">
        <f>C8/E8</f>
        <v/>
      </c>
      <c r="J8" s="6" t="inlineStr">
        <is>
          <t>Confirma un incendio más que detectarlo: está siempre alimentado y caliente.</t>
        </is>
      </c>
      <c r="K8" s="21" t="n">
        <v>599.5</v>
      </c>
      <c r="L8" s="13" t="n">
        <v>4</v>
      </c>
      <c r="M8" s="27">
        <f>K8/(D8*60)-1</f>
        <v/>
      </c>
      <c r="N8" s="21" t="n">
        <v>300.2</v>
      </c>
      <c r="O8" s="13" t="n">
        <v>2</v>
      </c>
      <c r="P8" s="27">
        <f>N8/(E8*60)-1</f>
        <v/>
      </c>
    </row>
    <row r="9" ht="26" customHeight="1">
      <c r="A9" s="9" t="inlineStr">
        <is>
          <t>BMV080</t>
        </is>
      </c>
      <c r="B9" s="10" t="inlineStr">
        <is>
          <t>partículas (humo)</t>
        </is>
      </c>
      <c r="C9" s="17" t="n">
        <v>30</v>
      </c>
      <c r="D9" s="17" t="n">
        <v>10</v>
      </c>
      <c r="E9" s="17" t="n">
        <v>5</v>
      </c>
      <c r="F9" s="18">
        <f>60/C9</f>
        <v/>
      </c>
      <c r="G9" s="18">
        <f>60/D9</f>
        <v/>
      </c>
      <c r="H9" s="18">
        <f>60/E9</f>
        <v/>
      </c>
      <c r="I9" s="19">
        <f>C9/E9</f>
        <v/>
      </c>
      <c r="J9" s="6" t="inlineStr">
        <is>
          <t>El humo es la firma más específica, pero el láser consume 68 mA.</t>
        </is>
      </c>
      <c r="K9" s="21" t="n">
        <v>599.9</v>
      </c>
      <c r="L9" s="13" t="n">
        <v>4</v>
      </c>
      <c r="M9" s="27">
        <f>K9/(D9*60)-1</f>
        <v/>
      </c>
      <c r="N9" s="21" t="n">
        <v>300.2</v>
      </c>
      <c r="O9" s="13" t="n">
        <v>2</v>
      </c>
      <c r="P9" s="27">
        <f>N9/(E9*60)-1</f>
        <v/>
      </c>
    </row>
    <row r="10" ht="26" customHeight="1">
      <c r="A10" s="9" t="inlineStr">
        <is>
          <t>Calypso</t>
        </is>
      </c>
      <c r="B10" s="10" t="inlineStr">
        <is>
          <t>viento: ángulo y velocidad</t>
        </is>
      </c>
      <c r="C10" s="17" t="n">
        <v>5</v>
      </c>
      <c r="D10" s="17" t="n">
        <v>5</v>
      </c>
      <c r="E10" s="17" t="n">
        <v>5</v>
      </c>
      <c r="F10" s="18">
        <f>60/C10</f>
        <v/>
      </c>
      <c r="G10" s="18">
        <f>60/D10</f>
        <v/>
      </c>
      <c r="H10" s="18">
        <f>60/E10</f>
        <v/>
      </c>
      <c r="I10" s="19">
        <f>C10/E10</f>
        <v/>
      </c>
      <c r="J10" s="6" t="inlineStr">
        <is>
          <t>Constante en los tres estados. Importa para saber hacia dónde se propagaría.</t>
        </is>
      </c>
      <c r="K10" s="21" t="n">
        <v>300.1</v>
      </c>
      <c r="L10" s="13" t="n">
        <v>9</v>
      </c>
      <c r="M10" s="27">
        <f>K10/(D10*60)-1</f>
        <v/>
      </c>
      <c r="N10" s="21" t="n">
        <v>300.3</v>
      </c>
      <c r="O10" s="13" t="n">
        <v>1</v>
      </c>
      <c r="P10" s="27">
        <f>N10/(E10*60)-1</f>
        <v/>
      </c>
    </row>
    <row r="12" ht="52" customHeight="1">
      <c r="A12" s="9" t="inlineStr">
        <is>
          <t>Envío por radio a Módulo B</t>
        </is>
      </c>
      <c r="B12" s="10" t="inlineStr">
        <is>
          <t>el paquete con lo acumulado</t>
        </is>
      </c>
      <c r="C12" s="17" t="n">
        <v>30</v>
      </c>
      <c r="D12" s="17" t="n">
        <v>15</v>
      </c>
      <c r="E12" s="17" t="n">
        <v>3</v>
      </c>
      <c r="F12" s="18">
        <f>60/C12</f>
        <v/>
      </c>
      <c r="G12" s="18">
        <f>60/D12</f>
        <v/>
      </c>
      <c r="H12" s="18">
        <f>60/E12</f>
        <v/>
      </c>
      <c r="I12" s="19">
        <f>C12/E12</f>
        <v/>
      </c>
      <c r="J12" s="6" t="inlineStr">
        <is>
          <t>En NORMAL va desplazado +1 minuto: en el minuto 30 vencen cinco lecturas a la vez y el barrido tarda 19,6 s, así que transmitir en el minuto exacto mandaría las partículas a medias. NO es un periodo de 31 min, que derivaría.</t>
        </is>
      </c>
      <c r="K12" s="21" t="n">
        <v>900.5</v>
      </c>
      <c r="L12" s="13" t="n">
        <v>3</v>
      </c>
      <c r="M12" s="27">
        <f>K12/(D12*60)-1</f>
        <v/>
      </c>
    </row>
    <row r="14">
      <c r="A14" s="9" t="inlineStr">
        <is>
          <t>CUÁNTAS LECTURAS SE ACUMULAN ENTRE ENVÍOS</t>
        </is>
      </c>
    </row>
    <row r="15">
      <c r="A15" s="10" t="inlineStr">
        <is>
          <t>Lectura más frecuente (min)</t>
        </is>
      </c>
      <c r="C15" s="10">
        <f>MIN(C5:C10)</f>
        <v/>
      </c>
      <c r="D15" s="10">
        <f>MIN(D5:D10)</f>
        <v/>
      </c>
      <c r="E15" s="10">
        <f>MIN(E5:E10)</f>
        <v/>
      </c>
    </row>
    <row r="16" ht="52" customHeight="1">
      <c r="A16" s="10" t="inlineStr">
        <is>
          <t>Lecturas acumuladas (estimado)</t>
        </is>
      </c>
      <c r="C16" s="20">
        <f>C12/C15</f>
        <v/>
      </c>
      <c r="D16" s="20">
        <f>D12/D15</f>
        <v/>
      </c>
      <c r="E16" s="20">
        <f>E12/E15</f>
        <v/>
      </c>
      <c r="J16" s="6" t="inlineStr">
        <is>
          <t>ESTA CUENTA SE QUEDA CORTA. Divide el envío entre el periodo más corto, pero los sensores no comparten rejilla: con T/H/P cada 3 min y viento cada 5, los barridos caen en la UNIÓN de las dos series, no en la más rápida. En prealarma la estimación da 5 y lo medido son 8.</t>
        </is>
      </c>
    </row>
    <row r="17" ht="40" customHeight="1">
      <c r="A17" s="9" t="inlineStr">
        <is>
          <t>Capacidad del almacén</t>
        </is>
      </c>
      <c r="C17" s="17" t="n">
        <v>8</v>
      </c>
      <c r="D17" s="17" t="n">
        <v>8</v>
      </c>
      <c r="E17" s="17" t="n">
        <v>8</v>
      </c>
      <c r="J17" s="6" t="inlineStr">
        <is>
          <t>Era 4 y se perdían lecturas: en NORMAL se acumulan 6. Subido a 8 el 2026-10-09 tras verlo en el log ("reading 4/4 kept"). El envío ya sabe partir el lote en varios paquetes de radio.</t>
        </is>
      </c>
    </row>
    <row r="18">
      <c r="A18" s="9" t="inlineStr">
        <is>
          <t>¿Caben?</t>
        </is>
      </c>
      <c r="C18">
        <f>IF(C16&lt;=C17,"sí","NO - se pierden")</f>
        <v/>
      </c>
      <c r="D18">
        <f>IF(D16&lt;=D17,"sí","NO - se pierden")</f>
        <v/>
      </c>
      <c r="E18">
        <f>IF(E16&lt;=E17,"sí","NO - se pierden")</f>
        <v/>
      </c>
    </row>
    <row r="19" ht="52" customHeight="1">
      <c r="A19" s="9" t="inlineStr">
        <is>
          <t>Lecturas por envío, MEDIDAS</t>
        </is>
      </c>
      <c r="D19" s="13" t="n">
        <v>8</v>
      </c>
      <c r="J19" s="28" t="inlineStr">
        <is>
          <t>Tres envíos en 55 min, los tres con 8 lecturas en 3 paquetes de radio. OCHO ES EXACTAMENTE LA CAPACIDAD DEL ALMACÉN: en prealarma no sobra ni una. Si se acelerase cualquier periodo, o si un envío fallara, se empezarían a perder lecturas.</t>
        </is>
      </c>
    </row>
  </sheetData>
  <mergeCells count="1">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30" customWidth="1" min="1" max="1"/>
    <col width="10" customWidth="1" min="2" max="2"/>
    <col width="12" customWidth="1" min="3" max="3"/>
    <col width="6" customWidth="1" min="4" max="4"/>
    <col width="12" customWidth="1" min="5" max="5"/>
    <col width="30" customWidth="1" min="6" max="6"/>
    <col width="56" customWidth="1" min="7" max="7"/>
  </cols>
  <sheetData>
    <row r="1">
      <c r="A1" s="7" t="inlineStr">
        <is>
          <t>Qué cuesta un despertar, según lo que venza</t>
        </is>
      </c>
    </row>
    <row r="2" ht="32" customHeight="1">
      <c r="A2" s="2" t="inlineStr">
        <is>
          <t>Hoja NUEVA en este libro. Antes todos los despertares costaban lo mismo porque el aparato arrancaba los cinco sensores siempre. Ahora solo arranca los que va a leer, así que el coste depende de cuántos coincidan en ese minuto.</t>
        </is>
      </c>
    </row>
    <row r="4" ht="32" customHeight="1">
      <c r="A4" s="8" t="inlineStr">
        <is>
          <t>Qué vence</t>
        </is>
      </c>
      <c r="B4" s="8" t="inlineStr">
        <is>
          <t>Sensores
leídos</t>
        </is>
      </c>
      <c r="C4" s="8" t="inlineStr">
        <is>
          <t>Barrido
medido (s)</t>
        </is>
      </c>
      <c r="D4" s="8" t="inlineStr">
        <is>
          <t>n</t>
        </is>
      </c>
      <c r="E4" s="8" t="inlineStr">
        <is>
          <t>Despierto
total (s)</t>
        </is>
      </c>
      <c r="F4" s="8" t="inlineStr">
        <is>
          <t>Cuándo ocurre</t>
        </is>
      </c>
      <c r="G4" s="8" t="inlineStr">
        <is>
          <t>Nota</t>
        </is>
      </c>
    </row>
    <row r="5" ht="26" customHeight="1">
      <c r="A5" s="9" t="inlineStr">
        <is>
          <t>Solo T/H/P</t>
        </is>
      </c>
      <c r="B5" s="10" t="n">
        <v>1</v>
      </c>
      <c r="C5" s="12" t="n">
        <v>1.538</v>
      </c>
      <c r="D5" s="13" t="n">
        <v>11</v>
      </c>
      <c r="E5" s="15" t="inlineStr">
        <is>
          <t>no medido</t>
        </is>
      </c>
      <c r="F5" s="6" t="inlineStr">
        <is>
          <t>Minutos múltiplos de 5 que no lo son de otra cosa</t>
        </is>
      </c>
      <c r="G5" s="6" t="inlineStr">
        <is>
          <t>El caso más común con diferencia.</t>
        </is>
      </c>
    </row>
    <row r="6" ht="39" customHeight="1">
      <c r="A6" s="9" t="inlineStr">
        <is>
          <t>T/H/P + viento</t>
        </is>
      </c>
      <c r="B6" s="10" t="n">
        <v>2</v>
      </c>
      <c r="C6" s="12" t="n">
        <v>4.544</v>
      </c>
      <c r="D6" s="13" t="n">
        <v>7</v>
      </c>
      <c r="E6" s="21" t="n">
        <v>8.9</v>
      </c>
      <c r="F6" s="6" t="inlineStr">
        <is>
          <t>La mayoría de los múltiplos de 5</t>
        </is>
      </c>
      <c r="G6" s="6" t="inlineStr">
        <is>
          <t>Los dos van a 5 minutos, así que casi siempre coinciden. Medido: 8,9 s despierto en total, contando arranque de placa y radio.</t>
        </is>
      </c>
    </row>
    <row r="7" ht="15" customHeight="1">
      <c r="A7" s="9" t="inlineStr">
        <is>
          <t>T/H/P + viento + VOC</t>
        </is>
      </c>
      <c r="B7" s="10" t="n">
        <v>3</v>
      </c>
      <c r="C7" s="12" t="n">
        <v>5.022</v>
      </c>
      <c r="D7" s="13" t="n">
        <v>2</v>
      </c>
      <c r="E7" s="15" t="inlineStr">
        <is>
          <t>no medido</t>
        </is>
      </c>
      <c r="F7" s="6" t="inlineStr">
        <is>
          <t>Múltiplos de 20 minutos</t>
        </is>
      </c>
      <c r="G7" s="6" t="inlineStr">
        <is>
          <t>Se añade el calefactor del BME690.</t>
        </is>
      </c>
    </row>
    <row r="8" ht="26" customHeight="1">
      <c r="A8" s="9" t="inlineStr">
        <is>
          <t>Todo: los seis</t>
        </is>
      </c>
      <c r="B8" s="10" t="n">
        <v>6</v>
      </c>
      <c r="C8" s="12" t="n">
        <v>19.554</v>
      </c>
      <c r="D8" s="13" t="n">
        <v>13</v>
      </c>
      <c r="E8" s="21" t="n">
        <v>30</v>
      </c>
      <c r="F8" s="6" t="inlineStr">
        <is>
          <t>Múltiplos de 30 min, y cada arranque en frío</t>
        </is>
      </c>
      <c r="G8" s="6" t="inlineStr">
        <is>
          <t>Aquí entran el CM1106 (3,5 s) y el BMV080 (2,1 s), más las pausas obligatorias entre los seis.</t>
        </is>
      </c>
    </row>
    <row r="10">
      <c r="A10" s="9" t="inlineStr">
        <is>
          <t>LO QUE ESTO AHORRÓ</t>
        </is>
      </c>
    </row>
    <row r="11" ht="28" customHeight="1">
      <c r="A11" s="10" t="inlineStr">
        <is>
          <t>Despierto antes del cambio (s)</t>
        </is>
      </c>
      <c r="C11" s="13" t="n">
        <v>17.5</v>
      </c>
      <c r="G11" s="6" t="inlineStr">
        <is>
          <t>Arrancaba los cinco sensores en cada despertar, incluidos 5 s de espera del BMV080, aunque solo viniera a por la temperatura.</t>
        </is>
      </c>
    </row>
    <row r="12">
      <c r="A12" s="10" t="inlineStr">
        <is>
          <t>Despierto después (s)</t>
        </is>
      </c>
      <c r="C12" s="13" t="n">
        <v>8.9</v>
      </c>
    </row>
    <row r="13">
      <c r="A13" s="9" t="inlineStr">
        <is>
          <t>Reducción</t>
        </is>
      </c>
      <c r="C13" s="22">
        <f>1-C12/C11</f>
        <v/>
      </c>
    </row>
    <row r="14" ht="52" customHeight="1">
      <c r="A14" s="9" t="inlineStr">
        <is>
          <t>Y lo que importaba más</t>
        </is>
      </c>
      <c r="G14" s="6" t="inlineStr">
        <is>
          <t>No era la batería — el usuario ya dijo que el consumo no es restricción — sino que la medida CAÍA 15 SEGUNDOS TARDE. El planificador despertaba 1,2 s antes del instante previsto, que es lo que tarda el BME690, pero luego gastaba 16 s arrancando sensores que no iban a leerse.</t>
        </is>
      </c>
    </row>
    <row r="16">
      <c r="A16" s="9" t="inlineStr">
        <is>
          <t>CADENCIA REAL MEDIDA</t>
        </is>
      </c>
    </row>
    <row r="17" ht="28" customHeight="1">
      <c r="A17" s="10" t="inlineStr">
        <is>
          <t>Entre despertares (s)</t>
        </is>
      </c>
      <c r="C17" s="21" t="n">
        <v>300.3</v>
      </c>
      <c r="G17" s="6" t="inlineStr">
        <is>
          <t>Contra los 300 s configurados: 0,1% de error. Con el planificador por ticks la desviación era del 88%.</t>
        </is>
      </c>
    </row>
    <row r="18" ht="28" customHeight="1">
      <c r="A18" s="10" t="inlineStr">
        <is>
          <t>Deriva del oscilador (ppm)</t>
        </is>
      </c>
      <c r="C18" s="13" t="n">
        <v>-615</v>
      </c>
      <c r="G18" s="6" t="inlineStr">
        <is>
          <t>La aprende el nodo solo, comparando su cuenta con la hora que le baja Módulo B. A partir de la segunda sincronización la compensa.</t>
        </is>
      </c>
    </row>
  </sheetData>
  <mergeCells count="1">
    <mergeCell ref="A2:G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2" customWidth="1" min="1" max="1"/>
    <col width="100" customWidth="1" min="2" max="2"/>
  </cols>
  <sheetData>
    <row r="1">
      <c r="A1" s="7" t="inlineStr">
        <is>
          <t>De dónde sale cada número</t>
        </is>
      </c>
    </row>
    <row r="3" ht="39" customHeight="1">
      <c r="A3" s="5" t="inlineStr">
        <is>
          <t>Qué se midió</t>
        </is>
      </c>
      <c r="B3" s="6" t="inlineStr">
        <is>
          <t>El firmware imprime por el puerto serie una línea por sensor y por barrido: "[t] BME690_T/H/P activo=40ms" y "[sched] barrido 19554ms". No hay cronómetro externo ni estimaciones: son los milisegundos que el propio aparato cuenta entre que empieza y termina cada operación.</t>
        </is>
      </c>
    </row>
    <row r="4" ht="26" customHeight="1">
      <c r="A4" s="5" t="inlineStr">
        <is>
          <t>Cuántas muestras</t>
        </is>
      </c>
      <c r="B4" s="6" t="inlineStr">
        <is>
          <t>Entre 11 y 44 por sensor, recogidas el 2026-10-09 a lo largo de unas seis horas de funcionamiento continuo en el nodo C3. La columna "n" de cada hoja dice cuántas.</t>
        </is>
      </c>
    </row>
    <row r="5" ht="26" customHeight="1">
      <c r="A5" s="5" t="inlineStr">
        <is>
          <t>Qué estadístico</t>
        </is>
      </c>
      <c r="B5" s="6" t="inlineStr">
        <is>
          <t>La MEDIANA, no la media. Un barrido que coincide con un reintento de radio se alarga mucho y arrastraría la media; la mediana no se entera.</t>
        </is>
      </c>
    </row>
    <row r="6" ht="39" customHeight="1">
      <c r="A6" s="5" t="inlineStr">
        <is>
          <t>Por qué hay rangos</t>
        </is>
      </c>
      <c r="B6" s="6" t="inlineStr">
        <is>
          <t>Porque dicen más que el valor solo. El CM1106 va de 3,512 a 3,513 s — es un reloj — mientras que el Calypso va de 0,061 a 1,502: escucha hasta 1,5 s esperando una trama válida y termina en cuanto llega.</t>
        </is>
      </c>
    </row>
    <row r="7" ht="39" customHeight="1">
      <c r="A7" s="5" t="inlineStr">
        <is>
          <t>Los ceros que se descartaron</t>
        </is>
      </c>
      <c r="B7" s="6" t="inlineStr">
        <is>
          <t>Algunas medidas salen 0 ms: son los despertares en los que ese sensor no estaba arrancado porque no le tocaba leer. No son lecturas instantáneas, son lecturas que no ocurrieron, y no entran en la mediana.</t>
        </is>
      </c>
    </row>
    <row r="8" ht="39" customHeight="1">
      <c r="A8" s="5" t="inlineStr">
        <is>
          <t>La cadencia de 300,3 s</t>
        </is>
      </c>
      <c r="B8" s="6" t="inlineStr">
        <is>
          <t>Medida de otra forma, a propósito: con el puerto USB como cronómetro externo. El puerto desaparece cuando el nodo duerme y reaparece al despertar, así que el tiempo entre dos apariciones es el periodo real, medido desde fuera del aparato.</t>
        </is>
      </c>
    </row>
    <row r="9" ht="39" customHeight="1">
      <c r="A9" s="5" t="inlineStr">
        <is>
          <t>La deriva de -615 ppm</t>
        </is>
      </c>
      <c r="B9" s="6" t="inlineStr">
        <is>
          <t>La calcula el propio nodo comparando cuánto tiempo cree él que ha pasado contra cuánto dice la hora de red que le baja Módulo B. Aparece en el log como "[clock] deriva 0 ppm -&gt; -615 ppm".</t>
        </is>
      </c>
    </row>
    <row r="10" ht="39" customHeight="1">
      <c r="A10" s="5" t="inlineStr">
        <is>
          <t>Cómo repetirlo</t>
        </is>
      </c>
      <c r="B10" s="6" t="inlineStr">
        <is>
          <t>Conectar C3 por USB, abrir el puerto a 115200 baudios y dejarlo capturando. Las líneas [t], [sched] y [sleep] salen solas. El script scratchpad/minar_tiempos.py hace las cuentas sobre el log.</t>
        </is>
      </c>
    </row>
    <row r="11" ht="26" customHeight="1">
      <c r="A11" s="5" t="inlineStr">
        <is>
          <t>Qué NO está medido aquí</t>
        </is>
      </c>
      <c r="B11" s="6" t="inlineStr">
        <is>
          <t>El consumo en mA. Este libro son tiempos. Para el presupuesto energético hacen falta las corrientes del PPK2, que siguen pendientes.</t>
        </is>
      </c>
    </row>
    <row r="13" ht="92" customHeight="1">
      <c r="A13" s="9" t="inlineStr">
        <is>
          <t>HAY UN TRANSITORIO DE ~7 MINUTOS</t>
        </is>
      </c>
      <c r="B13" s="6" t="inlineStr">
        <is>
          <t>Tras grabar el firmware, los intervalos no significan nada durante unos 7 minutos, y medir sin descartarlos lleva a conclusiones falsas: en alarma los trabajos de 300 s parecían ir un 20-27% adelantados, y con el transitorio fuera salen a 300,2 s. Dos cosas lo causan, encadenadas: el arranque en frío fuerza a TODOS los trabajos a vencer a la vez, así que la primera ronda cae fuera de la rejilla del reloj; y la primera sincronización con Módulo B llega ~35 s después y RE-FASEA el calendario entero, porque la base de tiempo salta del tiempo propio del nodo a la época real.</t>
        </is>
      </c>
    </row>
    <row r="14" ht="66" customHeight="1">
      <c r="A14" s="9" t="inlineStr">
        <is>
          <t>EL LOG PIERDE LÍNEAS EN NORMAL</t>
        </is>
      </c>
      <c r="B14" s="6" t="inlineStr">
        <is>
          <t>En estado normal el nodo se duerme milisegundos después de imprimir, y el puerto USB se cae con él: parte de las líneas no llegan al PC. Por eso los intervalos contados sobre el log salen largos. El dato fiable de cuántas lecturas hizo de verdad es CUÁNTAS LLEVA CADA ENVÍO, porque esa cuenta la lleva el nodo. En prealarma y alarma no pasa, porque ahí no duerme.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2026-10-09T10:19:04Z</dcterms:created>
  <dcterms:modified xsi:type="dcterms:W3CDTF">2026-10-11T19:40:55Z</dcterms:modified>
</cp:coreProperties>
</file>