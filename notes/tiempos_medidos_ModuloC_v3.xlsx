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eza aqui" sheetId="1" state="visible" r:id="rId1"/>
    <sheet name="Resumen" sheetId="2" state="visible" r:id="rId2"/>
    <sheet name="Tiempos por sensor" sheetId="3" state="visible" r:id="rId3"/>
    <sheet name="Periodos y mediciones" sheetId="4" state="visible" r:id="rId4"/>
    <sheet name="Que cuesta un despertar" sheetId="5" state="visible" r:id="rId5"/>
    <sheet name="Me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&quot;x&quot;"/>
    <numFmt numFmtId="166" formatCode="0.0"/>
    <numFmt numFmtId="167" formatCode="0.0&quot;x&quot;"/>
    <numFmt numFmtId="168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color rgb="000000FF"/>
      <sz val="10"/>
    </font>
    <font>
      <name val="Arial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0" fontId="5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6" fontId="7" fillId="0" borderId="0" pivotButton="0" quotePrefix="0" xfId="0"/>
    <xf numFmtId="9" fontId="0" fillId="0" borderId="0" pivotButton="0" quotePrefix="0" xfId="0"/>
    <xf numFmtId="0" fontId="4" fillId="2" borderId="0" pivotButton="0" quotePrefix="0" xfId="0"/>
    <xf numFmtId="168" fontId="7" fillId="0" borderId="0" pivotButton="0" quotePrefix="0" xfId="0"/>
    <xf numFmtId="168" fontId="8" fillId="0" borderId="0" pivotButton="0" quotePrefix="0" xfId="0"/>
    <xf numFmtId="1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Módulo C: qué mide, cada cuánto, y por qué</t>
        </is>
      </c>
    </row>
    <row r="2">
      <c r="A2" s="2" t="inlineStr">
        <is>
          <t>Esta hoja explica las otras. Si es la primera vez que ves este libro, léela entera: son cinco minutos y sin ella los números no significan nada.</t>
        </is>
      </c>
    </row>
    <row r="4">
      <c r="A4" s="3" t="inlineStr">
        <is>
          <t>QUÉ ES EL MÓDULO C</t>
        </is>
      </c>
      <c r="B4" s="4" t="inlineStr"/>
    </row>
    <row r="5" ht="39" customHeight="1">
      <c r="A5" s="5" t="inlineStr">
        <is>
          <t>En una frase</t>
        </is>
      </c>
      <c r="B5" s="6" t="inlineStr">
        <is>
          <t>Es una caja con cinco sensores que se deja en el monte para detectar un incendio antes de que sea grande. Mide temperatura, humedad, presión, gases, humo, CO2, monóxido de carbono y viento, y manda los datos por radio.</t>
        </is>
      </c>
    </row>
    <row r="6" ht="26" customHeight="1">
      <c r="A6" s="5" t="inlineStr">
        <is>
          <t>Funciona con batería</t>
        </is>
      </c>
      <c r="B6" s="6" t="inlineStr">
        <is>
          <t>No hay enchufe en el monte, así que el aparato pasa la mayor parte del tiempo dormido y solo se despierta cuando le toca medir algo.</t>
        </is>
      </c>
    </row>
    <row r="7" ht="26" customHeight="1">
      <c r="A7" s="5" t="inlineStr">
        <is>
          <t>Los cinco sensores</t>
        </is>
      </c>
      <c r="B7" s="6" t="inlineStr">
        <is>
          <t>BME690: temperatura, humedad, presión y gases.   BMV080: partículas, o sea humo.   CM1106: CO2.   SEN0466: monóxido de carbono.   Calypso: viento.</t>
        </is>
      </c>
    </row>
    <row r="9">
      <c r="A9" s="3" t="inlineStr">
        <is>
          <t>LO QUE CAMBIÓ RESPECTO AL LIBRO ANTERIOR</t>
        </is>
      </c>
      <c r="B9" s="4" t="inlineStr"/>
    </row>
    <row r="10" ht="52" customHeight="1">
      <c r="A10" s="5" t="inlineStr">
        <is>
          <t>Antes se contaba en "ticks"</t>
        </is>
      </c>
      <c r="B10" s="6" t="inlineStr">
        <is>
          <t>El aparato dormía una cantidad fija y hacía las cosas "cada N despertares". El problema era que un despertar no duraba lo que decía el programa: dormía 10 segundos MÁS lo que tardara en medir, así que duraba 18,8 s en realidad. Todos los periodos salían casi al doble de lo configurado, y ninguna constante podía acertar porque el despertar no duraba siempre lo mismo.</t>
        </is>
      </c>
    </row>
    <row r="11" ht="39" customHeight="1">
      <c r="A11" s="5" t="inlineStr">
        <is>
          <t>Ahora se cuenta en MINUTOS REALES</t>
        </is>
      </c>
      <c r="B11" s="6" t="inlineStr">
        <is>
          <t>Cada sensor tiene su propio periodo en minutos y el aparato calcula cuánto le queda hasta el siguiente, descontando lo que ha tardado en trabajar. Si pone 5 minutos, son 5 minutos. Medido: 300,3 segundos entre despertares.</t>
        </is>
      </c>
    </row>
    <row r="12" ht="39" customHeight="1">
      <c r="A12" s="5" t="inlineStr">
        <is>
          <t>Y el aparato ya tiene hora</t>
        </is>
      </c>
      <c r="B12" s="6" t="inlineStr">
        <is>
          <t>Módulo B le manda la hora de la red en cada conversación. Con eso las medidas caen en minutos redondos del reloj — :00, :05, :10 — así que LOS TRES NODOS MIDEN A LA VEZ y sus datos se pueden comparar entre sí.</t>
        </is>
      </c>
    </row>
    <row r="13" ht="26" customHeight="1">
      <c r="A13" s="5" t="inlineStr">
        <is>
          <t>Ya no hay "centinela" y "burst"</t>
        </is>
      </c>
      <c r="B13" s="6" t="inlineStr">
        <is>
          <t>Esa división existía para repartir el coste entre despertares. Con un periodo propio por sensor no hace falta: el BME690 cada 5 minutos y el CM1106 cada 30 dicen lo mismo, directamente.</t>
        </is>
      </c>
    </row>
    <row r="15">
      <c r="A15" s="3" t="inlineStr">
        <is>
          <t>LOS TRES ESTADOS</t>
        </is>
      </c>
      <c r="B15" s="4" t="inlineStr"/>
    </row>
    <row r="16" ht="15" customHeight="1">
      <c r="A16" s="5" t="inlineStr">
        <is>
          <t>NORMAL</t>
        </is>
      </c>
      <c r="B16" s="6" t="inlineStr">
        <is>
          <t>Lo habitual. Duerme entre medida y medida. Temperatura cada 5 minutos, humo y CO2 cada 30.</t>
        </is>
      </c>
    </row>
    <row r="17" ht="26" customHeight="1">
      <c r="A17" s="5" t="inlineStr">
        <is>
          <t>PRE-ALARMA</t>
        </is>
      </c>
      <c r="B17" s="6" t="inlineStr">
        <is>
          <t>Algún sensor cruzó su umbral. DEJA DE DORMIR y acelera: temperatura cada 3 minutos, humo cada 10. Tiene 10 minutos para confirmar o volver a la normalidad.</t>
        </is>
      </c>
    </row>
    <row r="18" ht="39" customHeight="1">
      <c r="A18" s="5" t="inlineStr">
        <is>
          <t>ALARMA</t>
        </is>
      </c>
      <c r="B18" s="6" t="inlineStr">
        <is>
          <t>Confirmado. Temperatura cada minuto y envío cada 3. YA NO ES IGUAL QUE LA PRE-ALARMA: en el libro anterior los dos estados compartían tiempos porque compartían código; ahora cada uno tiene su columna.</t>
        </is>
      </c>
    </row>
    <row r="19" ht="26" customHeight="1">
      <c r="A19" s="5" t="inlineStr">
        <is>
          <t>El CO2 es la excepción</t>
        </is>
      </c>
      <c r="B19" s="6" t="inlineStr">
        <is>
          <t>Se queda en 30 minutos en los TRES estados. Es deliberado: el CM1106 es el sensor menos fiable que hay en la caja y machacarlo no aporta nada.</t>
        </is>
      </c>
    </row>
    <row r="21">
      <c r="A21" s="3" t="inlineStr">
        <is>
          <t>CÓMO LEER CADA HOJA</t>
        </is>
      </c>
      <c r="B21" s="4" t="inlineStr"/>
    </row>
    <row r="22" ht="26" customHeight="1">
      <c r="A22" s="5" t="inlineStr">
        <is>
          <t>Tiempos por sensor</t>
        </is>
      </c>
      <c r="B22" s="6" t="inlineStr">
        <is>
          <t>Cuánto tarda cada sensor en dar su medida, medido sobre la placa. Son los tiempos del sensor en sí, no incluyen las esperas entre uno y otro.</t>
        </is>
      </c>
    </row>
    <row r="23" ht="39" customHeight="1">
      <c r="A23" s="5" t="inlineStr">
        <is>
          <t>Por qué hay esperas</t>
        </is>
      </c>
      <c r="B23" s="6" t="inlineStr">
        <is>
          <t>Los sensores NO PUEDEN FUNCIONAR A LA VEZ: el consumo de dos a la vez hunde la alimentación y la placa se reinicia. Se comprobó: 31 reinicios en paralelo contra 2 en serie. Por eso se leen en fila, con una pausa entre cada dos.</t>
        </is>
      </c>
    </row>
    <row r="24" ht="26" customHeight="1">
      <c r="A24" s="5" t="inlineStr">
        <is>
          <t>Periodos y mediciones</t>
        </is>
      </c>
      <c r="B24" s="6" t="inlineStr">
        <is>
          <t>Cada cuánto mide cada sensor en cada estado, y cuántas medidas salen por hora. Es la especificación que pediste, con las cuentas hechas.</t>
        </is>
      </c>
    </row>
    <row r="25" ht="39" customHeight="1">
      <c r="A25" s="5" t="inlineStr">
        <is>
          <t>Qué cuesta un despertar</t>
        </is>
      </c>
      <c r="B25" s="6" t="inlineStr">
        <is>
          <t>La hoja nueva de este libro. El aparato ya no hace siempre lo mismo al despertar: depende de cuántos sensores venzan en ese instante. Un despertar de solo temperatura cuesta 1,5 segundos; uno que vence todo, 19,6.</t>
        </is>
      </c>
    </row>
    <row r="26" ht="15" customHeight="1">
      <c r="A26" s="5" t="inlineStr">
        <is>
          <t>Resumen</t>
        </is>
      </c>
      <c r="B26" s="6" t="inlineStr">
        <is>
          <t>Las cifras que más cambian respecto al libro anterior.</t>
        </is>
      </c>
    </row>
    <row r="27" ht="15" customHeight="1">
      <c r="A27" s="5" t="inlineStr">
        <is>
          <t>Método</t>
        </is>
      </c>
      <c r="B27" s="6" t="inlineStr">
        <is>
          <t>De dónde sale cada número, para que cualquiera pueda repetirlo.</t>
        </is>
      </c>
    </row>
    <row r="28" ht="26" customHeight="1">
      <c r="A28" s="5" t="inlineStr">
        <is>
          <t>Los colores</t>
        </is>
      </c>
      <c r="B28" s="6" t="inlineStr">
        <is>
          <t>AZUL = medido sobre la placa, dato duro.   NEGRO = calculado con una fórmula a partir de los azules.   AMARILLO = constante de configuración que se puede cambiar.</t>
        </is>
      </c>
    </row>
    <row r="30">
      <c r="A30" s="3" t="inlineStr">
        <is>
          <t>EN UNA LÍNEA</t>
        </is>
      </c>
      <c r="B30" s="4" t="inlineStr"/>
    </row>
    <row r="31" ht="39" customHeight="1">
      <c r="B31" s="6" t="inlineStr">
        <is>
          <t>El aparato duerme y se despierta solo cuando a algún sensor le toca medir. La temperatura cada 5 minutos, el humo y el CO2 cada 30, y todo alineado al reloj para que los tres nodos midan en el mismo instante. Si algo cruza un umbral deja de dormir y acelera.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2" customWidth="1" min="4" max="4"/>
    <col width="62" customWidth="1" min="5" max="5"/>
  </cols>
  <sheetData>
    <row r="1">
      <c r="A1" s="7" t="inlineStr">
        <is>
          <t>Lo que más cambia respecto al libro anterior</t>
        </is>
      </c>
    </row>
    <row r="2" ht="32" customHeight="1">
      <c r="A2" s="2" t="inlineStr">
        <is>
          <t>El libro v2 describía el planificador por ticks. Este describe el de tiempo real, que lo sustituyó el 2026-10-09. No son ajustes: cambió la unidad en la que el aparato cuenta.</t>
        </is>
      </c>
    </row>
    <row r="4">
      <c r="A4" s="23" t="inlineStr">
        <is>
          <t>Concepto</t>
        </is>
      </c>
      <c r="B4" s="23" t="inlineStr">
        <is>
          <t>Antes (v2)</t>
        </is>
      </c>
      <c r="C4" s="23" t="inlineStr">
        <is>
          <t>Ahora (v3)</t>
        </is>
      </c>
      <c r="D4" s="23" t="inlineStr">
        <is>
          <t>Cambio</t>
        </is>
      </c>
      <c r="E4" s="23" t="inlineStr">
        <is>
          <t>Por qué importa</t>
        </is>
      </c>
    </row>
    <row r="5" ht="26" customHeight="1">
      <c r="A5" s="9" t="inlineStr">
        <is>
          <t>Unidad de tiempo</t>
        </is>
      </c>
      <c r="B5" s="10" t="inlineStr">
        <is>
          <t>tick de 18,8 s</t>
        </is>
      </c>
      <c r="C5" s="13" t="inlineStr">
        <is>
          <t>minutos reales</t>
        </is>
      </c>
      <c r="E5" s="6" t="inlineStr">
        <is>
          <t>Un tick duraba lo que durmiera MÁS lo que tardara en medir, así que variaba. Ninguna constante podía acertar.</t>
        </is>
      </c>
    </row>
    <row r="6" ht="26" customHeight="1">
      <c r="A6" s="9" t="inlineStr">
        <is>
          <t>Error de la cadencia</t>
        </is>
      </c>
      <c r="B6" s="10" t="inlineStr">
        <is>
          <t>88%</t>
        </is>
      </c>
      <c r="C6" s="13" t="inlineStr">
        <is>
          <t>0,1%</t>
        </is>
      </c>
      <c r="E6" s="6" t="inlineStr">
        <is>
          <t>Lo configurado era 10 s y lo real 18,8. Ahora 300 s configurados dan 300,3 medidos.</t>
        </is>
      </c>
    </row>
    <row r="7" ht="26" customHeight="1">
      <c r="A7" s="9" t="inlineStr">
        <is>
          <t>Temperatura, periodo</t>
        </is>
      </c>
      <c r="B7" s="10" t="inlineStr">
        <is>
          <t>56 s</t>
        </is>
      </c>
      <c r="C7" s="13" t="inlineStr">
        <is>
          <t>5 min</t>
        </is>
      </c>
      <c r="E7" s="6" t="inlineStr">
        <is>
          <t>Era un "centinela" cada 3 ticks. Ahora es un número en minutos que se lee tal cual.</t>
        </is>
      </c>
    </row>
    <row r="8" ht="26" customHeight="1">
      <c r="A8" s="9" t="inlineStr">
        <is>
          <t>Lectura completa</t>
        </is>
      </c>
      <c r="B8" s="10" t="inlineStr">
        <is>
          <t>28,2 min</t>
        </is>
      </c>
      <c r="C8" s="13" t="inlineStr">
        <is>
          <t>30 min (CO2 y humo)</t>
        </is>
      </c>
      <c r="E8" s="6" t="inlineStr">
        <is>
          <t>Antes todo lo caro iba junto en un "burst". Ahora cada sensor lleva su periodo.</t>
        </is>
      </c>
    </row>
    <row r="9" ht="26" customHeight="1">
      <c r="A9" s="9" t="inlineStr">
        <is>
          <t>Pre-alarma vs alarma</t>
        </is>
      </c>
      <c r="B9" s="10" t="inlineStr">
        <is>
          <t>idénticas</t>
        </is>
      </c>
      <c r="C9" s="13" t="inlineStr">
        <is>
          <t>distintas</t>
        </is>
      </c>
      <c r="E9" s="6" t="inlineStr">
        <is>
          <t>Compartían código, así que compartían tiempos. Ahora cada estado tiene su columna.</t>
        </is>
      </c>
    </row>
    <row r="10" ht="39" customHeight="1">
      <c r="A10" s="9" t="inlineStr">
        <is>
          <t>Despierto por despertar</t>
        </is>
      </c>
      <c r="B10" s="10" t="inlineStr">
        <is>
          <t>17,5 s</t>
        </is>
      </c>
      <c r="C10" s="13" t="inlineStr">
        <is>
          <t>8,9 s</t>
        </is>
      </c>
      <c r="E10" s="6" t="inlineStr">
        <is>
          <t>Solo arranca los sensores que va a leer. Y lo que importaba no era la batería, sino que la medida llegaba 15 s tarde.</t>
        </is>
      </c>
    </row>
    <row r="11" ht="26" customHeight="1">
      <c r="A11" s="9" t="inlineStr">
        <is>
          <t>Almacén de lecturas</t>
        </is>
      </c>
      <c r="B11" s="10" t="inlineStr">
        <is>
          <t>4</t>
        </is>
      </c>
      <c r="C11" s="13" t="inlineStr">
        <is>
          <t>8</t>
        </is>
      </c>
      <c r="E11" s="6" t="inlineStr">
        <is>
          <t>Con 4 se perdían 2 de cada 6 en estado normal. Se vio en el log antes de que nadie lo notara en los datos.</t>
        </is>
      </c>
    </row>
    <row r="12" ht="26" customHeight="1">
      <c r="A12" s="9" t="inlineStr">
        <is>
          <t>Campos no medidos</t>
        </is>
      </c>
      <c r="B12" s="10" t="inlineStr">
        <is>
          <t>repetía el valor viejo</t>
        </is>
      </c>
      <c r="C12" s="13" t="inlineStr">
        <is>
          <t>no se publican</t>
        </is>
      </c>
      <c r="E12" s="6" t="inlineStr">
        <is>
          <t>Un CO2 de hace media hora se publicaba como si fuera de ahora. Era indistinguible de "el CO2 no se ha movido".</t>
        </is>
      </c>
    </row>
    <row r="13" ht="39" customHeight="1">
      <c r="A13" s="9" t="inlineStr">
        <is>
          <t>Fecha de cada lectura</t>
        </is>
      </c>
      <c r="B13" s="10" t="inlineStr">
        <is>
          <t>error de 30x</t>
        </is>
      </c>
      <c r="C13" s="13" t="inlineStr">
        <is>
          <t>segundos reales</t>
        </is>
      </c>
      <c r="E13" s="6" t="inlineStr">
        <is>
          <t>Se mandaba la edad en número de despertares y se multiplicaba por 10 s. Con despertares de 5 min el histórico quedaba comprimido 30 veces.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1" customWidth="1" min="4" max="4"/>
    <col width="6" customWidth="1" min="5" max="5"/>
    <col width="14" customWidth="1" min="6" max="6"/>
    <col width="10" customWidth="1" min="7" max="7"/>
    <col width="62" customWidth="1" min="8" max="8"/>
    <col width="11" customWidth="1" min="9" max="9"/>
    <col width="5" customWidth="1" min="10" max="10"/>
    <col width="15" customWidth="1" min="11" max="11"/>
    <col width="11" customWidth="1" min="12" max="12"/>
  </cols>
  <sheetData>
    <row r="1">
      <c r="A1" s="7" t="inlineStr">
        <is>
          <t>Cuánto tarda cada sensor en dar su medida</t>
        </is>
      </c>
    </row>
    <row r="2" ht="30" customHeight="1">
      <c r="A2" s="2" t="inlineStr">
        <is>
          <t>MEDICION LIMPIA: 75 minutos seguidos sobre el firmware definitivo, sin reflashear ni tocar la placa durante la captura. Los valores del libro anterior venian de logs recogidos entre versiones distintas del firmware; estos no.</t>
        </is>
      </c>
    </row>
    <row r="4" ht="30" customHeight="1">
      <c r="A4" s="8" t="inlineStr">
        <is>
          <t>Sensor</t>
        </is>
      </c>
      <c r="B4" s="8" t="inlineStr">
        <is>
          <t>Qué mide</t>
        </is>
      </c>
      <c r="C4" s="8" t="inlineStr">
        <is>
          <t>Medido v2
(s)</t>
        </is>
      </c>
      <c r="D4" s="8" t="inlineStr">
        <is>
          <t>Medido v3
(s)</t>
        </is>
      </c>
      <c r="E4" s="8" t="inlineStr">
        <is>
          <t>n</t>
        </is>
      </c>
      <c r="F4" s="8" t="inlineStr">
        <is>
          <t>Rango
(s)</t>
        </is>
      </c>
      <c r="G4" s="8" t="inlineStr">
        <is>
          <t>Cambio</t>
        </is>
      </c>
      <c r="H4" s="8" t="inlineStr">
        <is>
          <t>Nota</t>
        </is>
      </c>
      <c r="I4" s="8" t="inlineStr">
        <is>
          <t>LIMPIA
(s)</t>
        </is>
      </c>
      <c r="J4" s="8" t="inlineStr">
        <is>
          <t>n</t>
        </is>
      </c>
      <c r="K4" s="8" t="inlineStr">
        <is>
          <t>Rango limpio
(s)</t>
        </is>
      </c>
      <c r="L4" s="8" t="inlineStr">
        <is>
          <t>Dispersión</t>
        </is>
      </c>
    </row>
    <row r="5" ht="26" customHeight="1">
      <c r="A5" s="9" t="inlineStr">
        <is>
          <t>BME690 — T/H/P</t>
        </is>
      </c>
      <c r="B5" s="10" t="inlineStr">
        <is>
          <t>temperatura, humedad, presión</t>
        </is>
      </c>
      <c r="C5" s="11" t="n">
        <v>0.037</v>
      </c>
      <c r="D5" s="12" t="n">
        <v>0.04</v>
      </c>
      <c r="E5" s="13" t="n">
        <v>44</v>
      </c>
      <c r="F5" s="13" t="inlineStr">
        <is>
          <t>0,040 – 0,040</t>
        </is>
      </c>
      <c r="G5" s="14">
        <f>IF(C5=0,"",D5/C5)</f>
        <v/>
      </c>
      <c r="H5" s="6" t="inlineStr">
        <is>
          <t>Lectura rápida, con el calefactor APAGADO. Idéntica en 44 medidas: no varía nada.</t>
        </is>
      </c>
      <c r="I5" s="12" t="n">
        <v>0.039</v>
      </c>
      <c r="J5" s="13" t="n">
        <v>15</v>
      </c>
      <c r="K5" s="13" t="inlineStr">
        <is>
          <t>0,039 – 0,039</t>
        </is>
      </c>
      <c r="L5" s="24" t="n">
        <v>0</v>
      </c>
    </row>
    <row r="6" ht="39" customHeight="1">
      <c r="A6" s="9" t="inlineStr">
        <is>
          <t>BME690 — VOC</t>
        </is>
      </c>
      <c r="B6" s="10" t="inlineStr">
        <is>
          <t>resistencia de gas</t>
        </is>
      </c>
      <c r="C6" s="15" t="inlineStr">
        <is>
          <t>no medido</t>
        </is>
      </c>
      <c r="D6" s="12" t="n">
        <v>0.188</v>
      </c>
      <c r="E6" s="13" t="n">
        <v>15</v>
      </c>
      <c r="F6" s="13" t="inlineStr">
        <is>
          <t>0,188 – 0,188</t>
        </is>
      </c>
      <c r="H6" s="6" t="inlineStr">
        <is>
          <t>Lectura completa, calefactor a 320 °C. En el libro anterior no existía por separado: era parte del "burst". La hoja original decía 10,8 s; son 0,188.</t>
        </is>
      </c>
      <c r="I6" s="12" t="n">
        <v>0.188</v>
      </c>
      <c r="J6" s="13" t="n">
        <v>2</v>
      </c>
      <c r="K6" s="13" t="inlineStr">
        <is>
          <t>0,188 – 0,188</t>
        </is>
      </c>
      <c r="L6" s="24" t="n">
        <v>0</v>
      </c>
    </row>
    <row r="7" ht="39" customHeight="1">
      <c r="A7" s="9" t="inlineStr">
        <is>
          <t>CM1106</t>
        </is>
      </c>
      <c r="B7" s="10" t="inlineStr">
        <is>
          <t>CO2</t>
        </is>
      </c>
      <c r="C7" s="11" t="n">
        <v>3.513</v>
      </c>
      <c r="D7" s="12" t="n">
        <v>3.513</v>
      </c>
      <c r="E7" s="13" t="n">
        <v>14</v>
      </c>
      <c r="F7" s="13" t="inlineStr">
        <is>
          <t>3,512 – 3,513</t>
        </is>
      </c>
      <c r="G7" s="14">
        <f>IF(C7=0,"",D7/C7)</f>
        <v/>
      </c>
      <c r="H7" s="6" t="inlineStr">
        <is>
          <t>Sin cambio, y clavado. Incluye el ciclo de alimentación y el calentamiento: es un sensor de disparo único que mide al arrancar.</t>
        </is>
      </c>
      <c r="I7" s="12" t="n">
        <v>3.513</v>
      </c>
      <c r="J7" s="13" t="n">
        <v>3</v>
      </c>
      <c r="K7" s="13" t="inlineStr">
        <is>
          <t>3,513 – 3,513</t>
        </is>
      </c>
      <c r="L7" s="24" t="n">
        <v>0</v>
      </c>
    </row>
    <row r="8" ht="26" customHeight="1">
      <c r="A8" s="9" t="inlineStr">
        <is>
          <t>BMV080</t>
        </is>
      </c>
      <c r="B8" s="10" t="inlineStr">
        <is>
          <t>partículas (humo)</t>
        </is>
      </c>
      <c r="C8" s="11" t="n">
        <v>2.135</v>
      </c>
      <c r="D8" s="12" t="n">
        <v>2.115</v>
      </c>
      <c r="E8" s="13" t="n">
        <v>14</v>
      </c>
      <c r="F8" s="13" t="inlineStr">
        <is>
          <t>2,115 – 2,133</t>
        </is>
      </c>
      <c r="G8" s="14">
        <f>IF(C8=0,"",D8/C8)</f>
        <v/>
      </c>
      <c r="H8" s="6" t="inlineStr">
        <is>
          <t>El láser. Su arranque de 5 s ya NO se paga en cada despertar: solo cuando le toca medir.</t>
        </is>
      </c>
      <c r="I8" s="12" t="n">
        <v>2.114</v>
      </c>
      <c r="J8" s="13" t="n">
        <v>3</v>
      </c>
      <c r="K8" s="13" t="inlineStr">
        <is>
          <t>2,114 – 2,133</t>
        </is>
      </c>
      <c r="L8" s="24" t="n">
        <v>0.009000000000000001</v>
      </c>
    </row>
    <row r="9" ht="39" customHeight="1">
      <c r="A9" s="9" t="inlineStr">
        <is>
          <t>SEN0466</t>
        </is>
      </c>
      <c r="B9" s="10" t="inlineStr">
        <is>
          <t>monóxido de carbono</t>
        </is>
      </c>
      <c r="C9" s="11" t="n">
        <v>0.024</v>
      </c>
      <c r="D9" s="12" t="n">
        <v>0.024</v>
      </c>
      <c r="E9" s="13" t="n">
        <v>15</v>
      </c>
      <c r="F9" s="13" t="inlineStr">
        <is>
          <t>0,024 – 0,025</t>
        </is>
      </c>
      <c r="G9" s="14">
        <f>IF(C9=0,"",D9/C9)</f>
        <v/>
      </c>
      <c r="H9" s="6" t="inlineStr">
        <is>
          <t>Va cableado directo a corriente, siempre caliente. Sus 210 s de estabilización se pagan una vez al energizar la placa, no por lectura.</t>
        </is>
      </c>
      <c r="I9" s="12" t="n">
        <v>0.024</v>
      </c>
      <c r="J9" s="13" t="n">
        <v>3</v>
      </c>
      <c r="K9" s="13" t="inlineStr">
        <is>
          <t>0,024 – 0,024</t>
        </is>
      </c>
      <c r="L9" s="24" t="n">
        <v>0</v>
      </c>
    </row>
    <row r="10" ht="78" customHeight="1">
      <c r="A10" s="9" t="inlineStr">
        <is>
          <t>Calypso</t>
        </is>
      </c>
      <c r="B10" s="10" t="inlineStr">
        <is>
          <t>viento: ángulo y velocidad</t>
        </is>
      </c>
      <c r="C10" s="11" t="n">
        <v>0.774</v>
      </c>
      <c r="D10" s="12" t="n">
        <v>1.117</v>
      </c>
      <c r="E10" s="13" t="n">
        <v>21</v>
      </c>
      <c r="F10" s="13" t="inlineStr">
        <is>
          <t>0,061 – 1,502</t>
        </is>
      </c>
      <c r="G10" s="14">
        <f>IF(C10=0,"",D10/C10)</f>
        <v/>
      </c>
      <c r="H10" s="6" t="inlineStr">
        <is>
          <t>ATENCIÓN: ese 1,501 s NO es lo que tarda en leer, es lo que tarda en RENDIRSE. Cinco de siete veces agotó la ventana de 1,5 s sin recibir una trama NMEA válida; las otras dos llegaron en 101 y 219 ms. Cuando sí responde da 0,0 m/s con validez 1, que en interior es correcto. El sensor está marginal, no muerto.</t>
        </is>
      </c>
      <c r="I10" s="12" t="n">
        <v>1.501</v>
      </c>
      <c r="J10" s="13" t="n">
        <v>7</v>
      </c>
      <c r="K10" s="13" t="inlineStr">
        <is>
          <t>0,101 – 1,502</t>
        </is>
      </c>
      <c r="L10" s="25" t="n">
        <v>0.9329999999999999</v>
      </c>
    </row>
    <row r="11" ht="30" customHeight="1">
      <c r="A11" s="9" t="inlineStr">
        <is>
          <t>SUMA de los seis</t>
        </is>
      </c>
      <c r="D11" s="16">
        <f>SUM(D5:D10)</f>
        <v/>
      </c>
      <c r="H11" s="6" t="inlineStr">
        <is>
          <t>Solo los sensores. Un barrido completo medido dura 19,554 s, así que casi dos tercios del tiempo son las pausas obligatorias entre sensor y sensor.</t>
        </is>
      </c>
    </row>
    <row r="13">
      <c r="A13" s="9" t="inlineStr">
        <is>
          <t>CADENCIA MEDIDA EN LA CAPTURA LIMPIA</t>
        </is>
      </c>
    </row>
    <row r="14" ht="15" customHeight="1">
      <c r="A14" s="10" t="inlineStr">
        <is>
          <t>Despertares capturados</t>
        </is>
      </c>
      <c r="H14" s="6" t="inlineStr">
        <is>
          <t>En 75 minutos.</t>
        </is>
      </c>
      <c r="I14" s="26" t="n">
        <v>22</v>
      </c>
    </row>
    <row r="15" ht="39" customHeight="1">
      <c r="A15" s="10" t="inlineStr">
        <is>
          <t>Intervalo mediano (s)</t>
        </is>
      </c>
      <c r="H15" s="6" t="inlineStr">
        <is>
          <t>Entre despertares separados más de 60 s. Configurado: 300 s -&gt; 1,1% de desviación. Con el planificador por ticks era del 88%.</t>
        </is>
      </c>
      <c r="I15" s="21" t="n">
        <v>296.7</v>
      </c>
    </row>
    <row r="16" ht="26" customHeight="1">
      <c r="A16" s="10" t="inlineStr">
        <is>
          <t>Intervalo mínimo (s)</t>
        </is>
      </c>
      <c r="H16" s="6" t="inlineStr">
        <is>
          <t>No todos los huecos son el periodo de 5 min: el envío va desplazado +1 minuto y genera despertares propios.</t>
        </is>
      </c>
      <c r="I16" s="21" t="n">
        <v>238.6</v>
      </c>
    </row>
    <row r="17">
      <c r="A17" s="10" t="inlineStr">
        <is>
          <t>Intervalo máximo (s)</t>
        </is>
      </c>
      <c r="I17" s="21" t="n">
        <v>302</v>
      </c>
    </row>
    <row r="18" ht="26" customHeight="1">
      <c r="A18" s="10" t="inlineStr">
        <is>
          <t>Envíos por radio</t>
        </is>
      </c>
      <c r="H18" s="6" t="inlineStr">
        <is>
          <t>Lotes de 1 a 8 lecturas. Los de 8 llenan el almacén justo, que es para lo que se dimensionó.</t>
        </is>
      </c>
      <c r="I18" s="26" t="n">
        <v>11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54" customWidth="1" min="10" max="10"/>
  </cols>
  <sheetData>
    <row r="1">
      <c r="A1" s="7" t="inlineStr">
        <is>
          <t>Cada cuánto mide cada sensor, y cuántas medidas salen por hora</t>
        </is>
      </c>
    </row>
    <row r="2" ht="32" customHeight="1">
      <c r="A2" s="2" t="inlineStr">
        <is>
          <t>Los periodos en AMARILLO son la especificación: se pueden cambiar y todo lo demás se recalcula. Las medidas por hora son 60 dividido entre el periodo. En el libro anterior esta tabla estaba en ticks y había que multiplicar por 18,8 para entenderla.</t>
        </is>
      </c>
    </row>
    <row r="4" ht="32" customHeight="1">
      <c r="A4" s="8" t="inlineStr">
        <is>
          <t>Sensor</t>
        </is>
      </c>
      <c r="B4" s="8" t="inlineStr">
        <is>
          <t>Qué mide</t>
        </is>
      </c>
      <c r="C4" s="8" t="inlineStr">
        <is>
          <t>NORMAL
(min)</t>
        </is>
      </c>
      <c r="D4" s="8" t="inlineStr">
        <is>
          <t>PRE-ALARMA
(min)</t>
        </is>
      </c>
      <c r="E4" s="8" t="inlineStr">
        <is>
          <t>ALARMA
(min)</t>
        </is>
      </c>
      <c r="F4" s="8" t="inlineStr">
        <is>
          <t>Medidas/h
NORMAL</t>
        </is>
      </c>
      <c r="G4" s="8" t="inlineStr">
        <is>
          <t>Medidas/h
PRE-AL.</t>
        </is>
      </c>
      <c r="H4" s="8" t="inlineStr">
        <is>
          <t>Medidas/h
ALARMA</t>
        </is>
      </c>
      <c r="I4" s="8" t="inlineStr">
        <is>
          <t>Aceleración
en alarma</t>
        </is>
      </c>
      <c r="J4" s="8" t="inlineStr">
        <is>
          <t>Nota</t>
        </is>
      </c>
    </row>
    <row r="5" ht="26" customHeight="1">
      <c r="A5" s="9" t="inlineStr">
        <is>
          <t>BME690 — T/H/P</t>
        </is>
      </c>
      <c r="B5" s="10" t="inlineStr">
        <is>
          <t>temperatura, humedad, presión</t>
        </is>
      </c>
      <c r="C5" s="17" t="n">
        <v>5</v>
      </c>
      <c r="D5" s="17" t="n">
        <v>3</v>
      </c>
      <c r="E5" s="17" t="n">
        <v>1</v>
      </c>
      <c r="F5" s="18">
        <f>60/C5</f>
        <v/>
      </c>
      <c r="G5" s="18">
        <f>60/D5</f>
        <v/>
      </c>
      <c r="H5" s="18">
        <f>60/E5</f>
        <v/>
      </c>
      <c r="I5" s="19">
        <f>C5/E5</f>
        <v/>
      </c>
      <c r="J5" s="6" t="inlineStr">
        <is>
          <t>La señal que más rápido se mueve en un incendio, y la más barata de leer: 40 ms.</t>
        </is>
      </c>
    </row>
    <row r="6" ht="26" customHeight="1">
      <c r="A6" s="9" t="inlineStr">
        <is>
          <t>BME690 — VOC</t>
        </is>
      </c>
      <c r="B6" s="10" t="inlineStr">
        <is>
          <t>resistencia de gas</t>
        </is>
      </c>
      <c r="C6" s="17" t="n">
        <v>20</v>
      </c>
      <c r="D6" s="17" t="n">
        <v>10</v>
      </c>
      <c r="E6" s="17" t="n">
        <v>5</v>
      </c>
      <c r="F6" s="18">
        <f>60/C6</f>
        <v/>
      </c>
      <c r="G6" s="18">
        <f>60/D6</f>
        <v/>
      </c>
      <c r="H6" s="18">
        <f>60/E6</f>
        <v/>
      </c>
      <c r="I6" s="19">
        <f>C6/E6</f>
        <v/>
      </c>
      <c r="J6" s="6" t="inlineStr">
        <is>
          <t>El mismo chip, otra operación: enciende el calefactor a 320 °C.</t>
        </is>
      </c>
    </row>
    <row r="7" ht="26" customHeight="1">
      <c r="A7" s="9" t="inlineStr">
        <is>
          <t>CM1106</t>
        </is>
      </c>
      <c r="B7" s="10" t="inlineStr">
        <is>
          <t>CO2</t>
        </is>
      </c>
      <c r="C7" s="17" t="n">
        <v>30</v>
      </c>
      <c r="D7" s="17" t="n">
        <v>30</v>
      </c>
      <c r="E7" s="17" t="n">
        <v>30</v>
      </c>
      <c r="F7" s="18">
        <f>60/C7</f>
        <v/>
      </c>
      <c r="G7" s="18">
        <f>60/D7</f>
        <v/>
      </c>
      <c r="H7" s="18">
        <f>60/E7</f>
        <v/>
      </c>
      <c r="I7" s="19">
        <f>C7/E7</f>
        <v/>
      </c>
      <c r="J7" s="6" t="inlineStr">
        <is>
          <t>EL ÚNICO QUE NO SE ACELERA, a propósito. Es el sensor menos fiable de la caja.</t>
        </is>
      </c>
    </row>
    <row r="8" ht="26" customHeight="1">
      <c r="A8" s="9" t="inlineStr">
        <is>
          <t>SEN0466</t>
        </is>
      </c>
      <c r="B8" s="10" t="inlineStr">
        <is>
          <t>monóxido de carbono</t>
        </is>
      </c>
      <c r="C8" s="17" t="n">
        <v>30</v>
      </c>
      <c r="D8" s="17" t="n">
        <v>10</v>
      </c>
      <c r="E8" s="17" t="n">
        <v>5</v>
      </c>
      <c r="F8" s="18">
        <f>60/C8</f>
        <v/>
      </c>
      <c r="G8" s="18">
        <f>60/D8</f>
        <v/>
      </c>
      <c r="H8" s="18">
        <f>60/E8</f>
        <v/>
      </c>
      <c r="I8" s="19">
        <f>C8/E8</f>
        <v/>
      </c>
      <c r="J8" s="6" t="inlineStr">
        <is>
          <t>Confirma un incendio más que detectarlo: está siempre alimentado y caliente.</t>
        </is>
      </c>
    </row>
    <row r="9" ht="26" customHeight="1">
      <c r="A9" s="9" t="inlineStr">
        <is>
          <t>BMV080</t>
        </is>
      </c>
      <c r="B9" s="10" t="inlineStr">
        <is>
          <t>partículas (humo)</t>
        </is>
      </c>
      <c r="C9" s="17" t="n">
        <v>30</v>
      </c>
      <c r="D9" s="17" t="n">
        <v>10</v>
      </c>
      <c r="E9" s="17" t="n">
        <v>5</v>
      </c>
      <c r="F9" s="18">
        <f>60/C9</f>
        <v/>
      </c>
      <c r="G9" s="18">
        <f>60/D9</f>
        <v/>
      </c>
      <c r="H9" s="18">
        <f>60/E9</f>
        <v/>
      </c>
      <c r="I9" s="19">
        <f>C9/E9</f>
        <v/>
      </c>
      <c r="J9" s="6" t="inlineStr">
        <is>
          <t>El humo es la firma más específica, pero el láser consume 68 mA.</t>
        </is>
      </c>
    </row>
    <row r="10" ht="26" customHeight="1">
      <c r="A10" s="9" t="inlineStr">
        <is>
          <t>Calypso</t>
        </is>
      </c>
      <c r="B10" s="10" t="inlineStr">
        <is>
          <t>viento: ángulo y velocidad</t>
        </is>
      </c>
      <c r="C10" s="17" t="n">
        <v>5</v>
      </c>
      <c r="D10" s="17" t="n">
        <v>5</v>
      </c>
      <c r="E10" s="17" t="n">
        <v>5</v>
      </c>
      <c r="F10" s="18">
        <f>60/C10</f>
        <v/>
      </c>
      <c r="G10" s="18">
        <f>60/D10</f>
        <v/>
      </c>
      <c r="H10" s="18">
        <f>60/E10</f>
        <v/>
      </c>
      <c r="I10" s="19">
        <f>C10/E10</f>
        <v/>
      </c>
      <c r="J10" s="6" t="inlineStr">
        <is>
          <t>Constante en los tres estados. Importa para saber hacia dónde se propagaría.</t>
        </is>
      </c>
    </row>
    <row r="12" ht="52" customHeight="1">
      <c r="A12" s="9" t="inlineStr">
        <is>
          <t>Envío por radio a Módulo B</t>
        </is>
      </c>
      <c r="B12" s="10" t="inlineStr">
        <is>
          <t>el paquete con lo acumulado</t>
        </is>
      </c>
      <c r="C12" s="17" t="n">
        <v>30</v>
      </c>
      <c r="D12" s="17" t="n">
        <v>15</v>
      </c>
      <c r="E12" s="17" t="n">
        <v>3</v>
      </c>
      <c r="F12" s="18">
        <f>60/C12</f>
        <v/>
      </c>
      <c r="G12" s="18">
        <f>60/D12</f>
        <v/>
      </c>
      <c r="H12" s="18">
        <f>60/E12</f>
        <v/>
      </c>
      <c r="I12" s="19">
        <f>C12/E12</f>
        <v/>
      </c>
      <c r="J12" s="6" t="inlineStr">
        <is>
          <t>En NORMAL va desplazado +1 minuto: en el minuto 30 vencen cinco lecturas a la vez y el barrido tarda 19,6 s, así que transmitir en el minuto exacto mandaría las partículas a medias. NO es un periodo de 31 min, que derivaría.</t>
        </is>
      </c>
    </row>
    <row r="14">
      <c r="A14" s="9" t="inlineStr">
        <is>
          <t>CUÁNTAS LECTURAS SE ACUMULAN ENTRE ENVÍOS</t>
        </is>
      </c>
    </row>
    <row r="15">
      <c r="A15" s="10" t="inlineStr">
        <is>
          <t>Lectura más frecuente (min)</t>
        </is>
      </c>
      <c r="C15" s="10">
        <f>MIN(C5:C10)</f>
        <v/>
      </c>
      <c r="D15" s="10">
        <f>MIN(D5:D10)</f>
        <v/>
      </c>
      <c r="E15" s="10">
        <f>MIN(E5:E10)</f>
        <v/>
      </c>
    </row>
    <row r="16">
      <c r="A16" s="10" t="inlineStr">
        <is>
          <t>Lecturas acumuladas</t>
        </is>
      </c>
      <c r="C16" s="20">
        <f>C12/C15</f>
        <v/>
      </c>
      <c r="D16" s="20">
        <f>D12/D15</f>
        <v/>
      </c>
      <c r="E16" s="20">
        <f>E12/E15</f>
        <v/>
      </c>
    </row>
    <row r="17" ht="40" customHeight="1">
      <c r="A17" s="9" t="inlineStr">
        <is>
          <t>Capacidad del almacén</t>
        </is>
      </c>
      <c r="C17" s="17" t="n">
        <v>8</v>
      </c>
      <c r="D17" s="17" t="n">
        <v>8</v>
      </c>
      <c r="E17" s="17" t="n">
        <v>8</v>
      </c>
      <c r="J17" s="6" t="inlineStr">
        <is>
          <t>Era 4 y se perdían lecturas: en NORMAL se acumulan 6. Subido a 8 el 2026-10-09 tras verlo en el log ("reading 4/4 kept"). El envío ya sabe partir el lote en varios paquetes de radio.</t>
        </is>
      </c>
    </row>
    <row r="18">
      <c r="A18" s="9" t="inlineStr">
        <is>
          <t>¿Caben?</t>
        </is>
      </c>
      <c r="C18">
        <f>IF(C16&lt;=C17,"sí","NO - se pierden")</f>
        <v/>
      </c>
      <c r="D18">
        <f>IF(D16&lt;=D17,"sí","NO - se pierden")</f>
        <v/>
      </c>
      <c r="E18">
        <f>IF(E16&lt;=E17,"sí","NO - se pierden")</f>
        <v/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6" customWidth="1" min="4" max="4"/>
    <col width="12" customWidth="1" min="5" max="5"/>
    <col width="30" customWidth="1" min="6" max="6"/>
    <col width="56" customWidth="1" min="7" max="7"/>
  </cols>
  <sheetData>
    <row r="1">
      <c r="A1" s="7" t="inlineStr">
        <is>
          <t>Qué cuesta un despertar, según lo que venza</t>
        </is>
      </c>
    </row>
    <row r="2" ht="32" customHeight="1">
      <c r="A2" s="2" t="inlineStr">
        <is>
          <t>Hoja NUEVA en este libro. Antes todos los despertares costaban lo mismo porque el aparato arrancaba los cinco sensores siempre. Ahora solo arranca los que va a leer, así que el coste depende de cuántos coincidan en ese minuto.</t>
        </is>
      </c>
    </row>
    <row r="4" ht="32" customHeight="1">
      <c r="A4" s="8" t="inlineStr">
        <is>
          <t>Qué vence</t>
        </is>
      </c>
      <c r="B4" s="8" t="inlineStr">
        <is>
          <t>Sensores
leídos</t>
        </is>
      </c>
      <c r="C4" s="8" t="inlineStr">
        <is>
          <t>Barrido
medido (s)</t>
        </is>
      </c>
      <c r="D4" s="8" t="inlineStr">
        <is>
          <t>n</t>
        </is>
      </c>
      <c r="E4" s="8" t="inlineStr">
        <is>
          <t>Despierto
total (s)</t>
        </is>
      </c>
      <c r="F4" s="8" t="inlineStr">
        <is>
          <t>Cuándo ocurre</t>
        </is>
      </c>
      <c r="G4" s="8" t="inlineStr">
        <is>
          <t>Nota</t>
        </is>
      </c>
    </row>
    <row r="5" ht="26" customHeight="1">
      <c r="A5" s="9" t="inlineStr">
        <is>
          <t>Solo T/H/P</t>
        </is>
      </c>
      <c r="B5" s="10" t="n">
        <v>1</v>
      </c>
      <c r="C5" s="12" t="n">
        <v>1.538</v>
      </c>
      <c r="D5" s="13" t="n">
        <v>11</v>
      </c>
      <c r="E5" s="15" t="inlineStr">
        <is>
          <t>no medido</t>
        </is>
      </c>
      <c r="F5" s="6" t="inlineStr">
        <is>
          <t>Minutos múltiplos de 5 que no lo son de otra cosa</t>
        </is>
      </c>
      <c r="G5" s="6" t="inlineStr">
        <is>
          <t>El caso más común con diferencia.</t>
        </is>
      </c>
    </row>
    <row r="6" ht="39" customHeight="1">
      <c r="A6" s="9" t="inlineStr">
        <is>
          <t>T/H/P + viento</t>
        </is>
      </c>
      <c r="B6" s="10" t="n">
        <v>2</v>
      </c>
      <c r="C6" s="12" t="n">
        <v>4.544</v>
      </c>
      <c r="D6" s="13" t="n">
        <v>7</v>
      </c>
      <c r="E6" s="21" t="n">
        <v>8.9</v>
      </c>
      <c r="F6" s="6" t="inlineStr">
        <is>
          <t>La mayoría de los múltiplos de 5</t>
        </is>
      </c>
      <c r="G6" s="6" t="inlineStr">
        <is>
          <t>Los dos van a 5 minutos, así que casi siempre coinciden. Medido: 8,9 s despierto en total, contando arranque de placa y radio.</t>
        </is>
      </c>
    </row>
    <row r="7" ht="15" customHeight="1">
      <c r="A7" s="9" t="inlineStr">
        <is>
          <t>T/H/P + viento + VOC</t>
        </is>
      </c>
      <c r="B7" s="10" t="n">
        <v>3</v>
      </c>
      <c r="C7" s="12" t="n">
        <v>5.022</v>
      </c>
      <c r="D7" s="13" t="n">
        <v>2</v>
      </c>
      <c r="E7" s="15" t="inlineStr">
        <is>
          <t>no medido</t>
        </is>
      </c>
      <c r="F7" s="6" t="inlineStr">
        <is>
          <t>Múltiplos de 20 minutos</t>
        </is>
      </c>
      <c r="G7" s="6" t="inlineStr">
        <is>
          <t>Se añade el calefactor del BME690.</t>
        </is>
      </c>
    </row>
    <row r="8" ht="26" customHeight="1">
      <c r="A8" s="9" t="inlineStr">
        <is>
          <t>Todo: los seis</t>
        </is>
      </c>
      <c r="B8" s="10" t="n">
        <v>6</v>
      </c>
      <c r="C8" s="12" t="n">
        <v>19.554</v>
      </c>
      <c r="D8" s="13" t="n">
        <v>13</v>
      </c>
      <c r="E8" s="21" t="n">
        <v>30</v>
      </c>
      <c r="F8" s="6" t="inlineStr">
        <is>
          <t>Múltiplos de 30 min, y cada arranque en frío</t>
        </is>
      </c>
      <c r="G8" s="6" t="inlineStr">
        <is>
          <t>Aquí entran el CM1106 (3,5 s) y el BMV080 (2,1 s), más las pausas obligatorias entre los seis.</t>
        </is>
      </c>
    </row>
    <row r="10">
      <c r="A10" s="9" t="inlineStr">
        <is>
          <t>LO QUE ESTO AHORRÓ</t>
        </is>
      </c>
    </row>
    <row r="11" ht="28" customHeight="1">
      <c r="A11" s="10" t="inlineStr">
        <is>
          <t>Despierto antes del cambio (s)</t>
        </is>
      </c>
      <c r="C11" s="13" t="n">
        <v>17.5</v>
      </c>
      <c r="G11" s="6" t="inlineStr">
        <is>
          <t>Arrancaba los cinco sensores en cada despertar, incluidos 5 s de espera del BMV080, aunque solo viniera a por la temperatura.</t>
        </is>
      </c>
    </row>
    <row r="12">
      <c r="A12" s="10" t="inlineStr">
        <is>
          <t>Despierto después (s)</t>
        </is>
      </c>
      <c r="C12" s="13" t="n">
        <v>8.9</v>
      </c>
    </row>
    <row r="13">
      <c r="A13" s="9" t="inlineStr">
        <is>
          <t>Reducción</t>
        </is>
      </c>
      <c r="C13" s="22">
        <f>1-C12/C11</f>
        <v/>
      </c>
    </row>
    <row r="14" ht="52" customHeight="1">
      <c r="A14" s="9" t="inlineStr">
        <is>
          <t>Y lo que importaba más</t>
        </is>
      </c>
      <c r="G14" s="6" t="inlineStr">
        <is>
          <t>No era la batería — el usuario ya dijo que el consumo no es restricción — sino que la medida CAÍA 15 SEGUNDOS TARDE. El planificador despertaba 1,2 s antes del instante previsto, que es lo que tarda el BME690, pero luego gastaba 16 s arrancando sensores que no iban a leerse.</t>
        </is>
      </c>
    </row>
    <row r="16">
      <c r="A16" s="9" t="inlineStr">
        <is>
          <t>CADENCIA REAL MEDIDA</t>
        </is>
      </c>
    </row>
    <row r="17" ht="28" customHeight="1">
      <c r="A17" s="10" t="inlineStr">
        <is>
          <t>Entre despertares (s)</t>
        </is>
      </c>
      <c r="C17" s="21" t="n">
        <v>300.3</v>
      </c>
      <c r="G17" s="6" t="inlineStr">
        <is>
          <t>Contra los 300 s configurados: 0,1% de error. Con el planificador por ticks la desviación era del 88%.</t>
        </is>
      </c>
    </row>
    <row r="18" ht="28" customHeight="1">
      <c r="A18" s="10" t="inlineStr">
        <is>
          <t>Deriva del oscilador (ppm)</t>
        </is>
      </c>
      <c r="C18" s="13" t="n">
        <v>-615</v>
      </c>
      <c r="G18" s="6" t="inlineStr">
        <is>
          <t>La aprende el nodo solo, comparando su cuenta con la hora que le baja Módulo B. A partir de la segunda sincronización la compensa.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7" t="inlineStr">
        <is>
          <t>De dónde sale cada número</t>
        </is>
      </c>
    </row>
    <row r="3" ht="39" customHeight="1">
      <c r="A3" s="5" t="inlineStr">
        <is>
          <t>Qué se midió</t>
        </is>
      </c>
      <c r="B3" s="6" t="inlineStr">
        <is>
          <t>El firmware imprime por el puerto serie una línea por sensor y por barrido: "[t] BME690_T/H/P activo=40ms" y "[sched] barrido 19554ms". No hay cronómetro externo ni estimaciones: son los milisegundos que el propio aparato cuenta entre que empieza y termina cada operación.</t>
        </is>
      </c>
    </row>
    <row r="4" ht="26" customHeight="1">
      <c r="A4" s="5" t="inlineStr">
        <is>
          <t>Cuántas muestras</t>
        </is>
      </c>
      <c r="B4" s="6" t="inlineStr">
        <is>
          <t>Entre 11 y 44 por sensor, recogidas el 2026-10-09 a lo largo de unas seis horas de funcionamiento continuo en el nodo C3. La columna "n" de cada hoja dice cuántas.</t>
        </is>
      </c>
    </row>
    <row r="5" ht="26" customHeight="1">
      <c r="A5" s="5" t="inlineStr">
        <is>
          <t>Qué estadístico</t>
        </is>
      </c>
      <c r="B5" s="6" t="inlineStr">
        <is>
          <t>La MEDIANA, no la media. Un barrido que coincide con un reintento de radio se alarga mucho y arrastraría la media; la mediana no se entera.</t>
        </is>
      </c>
    </row>
    <row r="6" ht="39" customHeight="1">
      <c r="A6" s="5" t="inlineStr">
        <is>
          <t>Por qué hay rangos</t>
        </is>
      </c>
      <c r="B6" s="6" t="inlineStr">
        <is>
          <t>Porque dicen más que el valor solo. El CM1106 va de 3,512 a 3,513 s — es un reloj — mientras que el Calypso va de 0,061 a 1,502: escucha hasta 1,5 s esperando una trama válida y termina en cuanto llega.</t>
        </is>
      </c>
    </row>
    <row r="7" ht="39" customHeight="1">
      <c r="A7" s="5" t="inlineStr">
        <is>
          <t>Los ceros que se descartaron</t>
        </is>
      </c>
      <c r="B7" s="6" t="inlineStr">
        <is>
          <t>Algunas medidas salen 0 ms: son los despertares en los que ese sensor no estaba arrancado porque no le tocaba leer. No son lecturas instantáneas, son lecturas que no ocurrieron, y no entran en la mediana.</t>
        </is>
      </c>
    </row>
    <row r="8" ht="39" customHeight="1">
      <c r="A8" s="5" t="inlineStr">
        <is>
          <t>La cadencia de 300,3 s</t>
        </is>
      </c>
      <c r="B8" s="6" t="inlineStr">
        <is>
          <t>Medida de otra forma, a propósito: con el puerto USB como cronómetro externo. El puerto desaparece cuando el nodo duerme y reaparece al despertar, así que el tiempo entre dos apariciones es el periodo real, medido desde fuera del aparato.</t>
        </is>
      </c>
    </row>
    <row r="9" ht="39" customHeight="1">
      <c r="A9" s="5" t="inlineStr">
        <is>
          <t>La deriva de -615 ppm</t>
        </is>
      </c>
      <c r="B9" s="6" t="inlineStr">
        <is>
          <t>La calcula el propio nodo comparando cuánto tiempo cree él que ha pasado contra cuánto dice la hora de red que le baja Módulo B. Aparece en el log como "[clock] deriva 0 ppm -&gt; -615 ppm".</t>
        </is>
      </c>
    </row>
    <row r="10" ht="39" customHeight="1">
      <c r="A10" s="5" t="inlineStr">
        <is>
          <t>Cómo repetirlo</t>
        </is>
      </c>
      <c r="B10" s="6" t="inlineStr">
        <is>
          <t>Conectar C3 por USB, abrir el puerto a 115200 baudios y dejarlo capturando. Las líneas [t], [sched] y [sleep] salen solas. El script scratchpad/minar_tiempos.py hace las cuentas sobre el log.</t>
        </is>
      </c>
    </row>
    <row r="11" ht="26" customHeight="1">
      <c r="A11" s="5" t="inlineStr">
        <is>
          <t>Qué NO está medido aquí</t>
        </is>
      </c>
      <c r="B11" s="6" t="inlineStr">
        <is>
          <t>El consumo en mA. Este libro son tiempos. Para el presupuesto energético hacen falta las corrientes del PPK2, que siguen pendientes.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2026-10-09T10:19:04Z</dcterms:created>
  <dcterms:modified xsi:type="dcterms:W3CDTF">2026-10-09T13:05:39Z</dcterms:modified>
</cp:coreProperties>
</file>